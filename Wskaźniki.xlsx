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owy folder\PROJEKTY\PORTFOLIO\Analiza finansowa Kubota S.A\Edycja SF Kubota 2023-2025\"/>
    </mc:Choice>
  </mc:AlternateContent>
  <xr:revisionPtr revIDLastSave="0" documentId="13_ncr:1_{CDDA362B-D472-4E4C-B637-614373248F6F}" xr6:coauthVersionLast="47" xr6:coauthVersionMax="47" xr10:uidLastSave="{00000000-0000-0000-0000-000000000000}"/>
  <bookViews>
    <workbookView xWindow="-28920" yWindow="-90" windowWidth="29040" windowHeight="15720" activeTab="4" xr2:uid="{00000000-000D-0000-FFFF-FFFF00000000}"/>
  </bookViews>
  <sheets>
    <sheet name="Aktywa" sheetId="2" r:id="rId1"/>
    <sheet name="Pasywa" sheetId="7" r:id="rId2"/>
    <sheet name="RZiS" sheetId="8" r:id="rId3"/>
    <sheet name="RPP" sheetId="9" r:id="rId4"/>
    <sheet name="Wskaźniki" sheetId="1" r:id="rId5"/>
    <sheet name="Wykresy" sheetId="10" r:id="rId6"/>
  </sheets>
  <definedNames>
    <definedName name="_xlnm._FilterDatabase" localSheetId="1" hidden="1">Pasywa!$D$1:$D$1</definedName>
    <definedName name="_xlnm._FilterDatabase" localSheetId="3" hidden="1">'RPP'!$D$1:$D$72</definedName>
    <definedName name="ExternalData_1" localSheetId="0" hidden="1">Aktywa!$A$1:$C$95</definedName>
    <definedName name="ExternalData_5" localSheetId="1" hidden="1">Pasywa!$A$1:$C$68</definedName>
    <definedName name="ExternalData_6" localSheetId="2" hidden="1">'RZiS'!$A$1:$C$55</definedName>
    <definedName name="ExternalData_7" localSheetId="3" hidden="1">'RPP'!$A$1:$C$72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age007_214bd08a-698e-4c3f-84c2-9f1dc7e65db1" name="Page007" connection="Zapytanie — Page007"/>
          <x15:modelTable id="Page008_d2eb42dd-badf-43f5-a130-b339bfb8234b" name="Page008" connection="Zapytanie — Page008"/>
          <x15:modelTable id="Page009_f44393c4-006b-4863-aaff-c07310e0623d" name="Page009" connection="Zapytanie — Page009"/>
          <x15:modelTable id="Page010_e3c19340-a3e2-4d33-becb-60a9f3826095" name="Page010" connection="Zapytanie — Page010"/>
          <x15:modelTable id="Page011_dbcf215b-607b-4430-b4ee-00fd30a60b38" name="Page011" connection="Zapytanie — Page011"/>
          <x15:modelTable id="Page012_c482e775-58c0-427e-aeb4-964ae59a77f5" name="Page012" connection="Zapytanie — Page012"/>
          <x15:modelTable id="Page013_8af34e28-a651-4978-a6d5-589953bbd420" name="Page013" connection="Zapytanie — Page013"/>
          <x15:modelTable id="Page014_5c52d519-378e-4262-bf52-e8eb498fce75" name="Page014" connection="Zapytanie — Page014"/>
          <x15:modelTable id="Page015_a77ce8ae-a1cb-4b45-b22a-ee02dc465f42" name="Page015" connection="Zapytanie — Page015"/>
          <x15:modelTable id="Page016_0f867484-1f4f-4928-b67d-5ae242eb37db" name="Page016" connection="Zapytanie — Page016"/>
          <x15:modelTable id="Page017_9b0ac394-c6aa-4c64-913a-d1a23129b01b" name="Page017" connection="Zapytanie — Page017"/>
          <x15:modelTable id="Page018_7315551e-0031-438d-8c8d-5d0fb7022c6a" name="Page018" connection="Zapytanie — Page018"/>
          <x15:modelTable id="Page019_576a24ca-0dfc-4469-9154-d44f238e8543" name="Page019" connection="Zapytanie — Page01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0" l="1"/>
  <c r="C8" i="10"/>
  <c r="C7" i="10"/>
  <c r="D28" i="1"/>
  <c r="E28" i="1"/>
  <c r="C28" i="1"/>
  <c r="D26" i="1"/>
  <c r="E26" i="1"/>
  <c r="C26" i="1"/>
  <c r="D25" i="1"/>
  <c r="E25" i="1"/>
  <c r="C25" i="1"/>
  <c r="D15" i="1"/>
  <c r="E15" i="1"/>
  <c r="C15" i="1"/>
  <c r="D14" i="1"/>
  <c r="E14" i="1"/>
  <c r="D13" i="1"/>
  <c r="E13" i="1"/>
  <c r="C14" i="1"/>
  <c r="C13" i="1"/>
  <c r="D10" i="1"/>
  <c r="E10" i="1"/>
  <c r="C10" i="1"/>
  <c r="D19" i="1"/>
  <c r="I7" i="10" s="1"/>
  <c r="E19" i="1"/>
  <c r="I6" i="10" s="1"/>
  <c r="C19" i="1"/>
  <c r="I8" i="10" s="1"/>
  <c r="E24" i="1"/>
  <c r="D24" i="1"/>
  <c r="E11" i="1"/>
  <c r="E12" i="1"/>
  <c r="D6" i="10" s="1"/>
  <c r="E18" i="1"/>
  <c r="E20" i="1"/>
  <c r="E21" i="1"/>
  <c r="E4" i="1"/>
  <c r="E6" i="10" s="1"/>
  <c r="E5" i="1"/>
  <c r="F6" i="10" s="1"/>
  <c r="E6" i="1"/>
  <c r="G6" i="10" s="1"/>
  <c r="E7" i="1"/>
  <c r="D18" i="1"/>
  <c r="D20" i="1"/>
  <c r="D21" i="1"/>
  <c r="D11" i="1"/>
  <c r="D12" i="1"/>
  <c r="D7" i="10" s="1"/>
  <c r="D5" i="1"/>
  <c r="F7" i="10" s="1"/>
  <c r="D6" i="1"/>
  <c r="G7" i="10" s="1"/>
  <c r="D7" i="1"/>
  <c r="C5" i="1"/>
  <c r="F8" i="10" s="1"/>
  <c r="C6" i="1"/>
  <c r="G8" i="10" s="1"/>
  <c r="C7" i="1"/>
  <c r="C11" i="1"/>
  <c r="C12" i="1"/>
  <c r="D8" i="10" s="1"/>
  <c r="C18" i="1"/>
  <c r="C20" i="1"/>
  <c r="C21" i="1"/>
  <c r="C24" i="1"/>
  <c r="D4" i="1"/>
  <c r="E7" i="10" s="1"/>
  <c r="C4" i="1"/>
  <c r="E8" i="10" s="1"/>
  <c r="E27" i="1" l="1"/>
  <c r="C27" i="1"/>
  <c r="D2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1A84F6-97BB-4A7E-B105-114E374B10B6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B9E4FC0-A88E-41AD-94CE-632D13528DC6}" keepAlive="1" name="Zapytanie — Aktywa" description="Połączenie z zapytaniem „Aktywa” w skoroszycie." type="5" refreshedVersion="0" background="1">
    <dbPr connection="Provider=Microsoft.Mashup.OleDb.1;Data Source=$Workbook$;Location=Aktywa;Extended Properties=&quot;&quot;" command="SELECT * FROM [Aktywa]"/>
  </connection>
  <connection id="3" xr16:uid="{3612558B-FD14-44FD-8CBF-87A14040DAC3}" keepAlive="1" name="Zapytanie — Aktywa1" description="Połączenie z zapytaniem „Aktywa” w skoroszycie." type="5" refreshedVersion="8" background="1" saveData="1">
    <dbPr connection="Provider=Microsoft.Mashup.OleDb.1;Data Source=$Workbook$;Location=Aktywa;Extended Properties=&quot;&quot;" command="SELECT * FROM [Aktywa]"/>
  </connection>
  <connection id="4" xr16:uid="{7B03DF45-86DC-4C83-81A6-9C90BE66E7BE}" name="Zapytanie — Page007" description="Połączenie z zapytaniem „Page007” w skoroszycie." type="100" refreshedVersion="8" minRefreshableVersion="5">
    <extLst>
      <ext xmlns:x15="http://schemas.microsoft.com/office/spreadsheetml/2010/11/main" uri="{DE250136-89BD-433C-8126-D09CA5730AF9}">
        <x15:connection id="bc282ba1-6968-42ac-b70b-831bf125f37f"/>
      </ext>
    </extLst>
  </connection>
  <connection id="5" xr16:uid="{AE6C42F8-DC37-47FA-B52F-74F3F9C0E1F4}" name="Zapytanie — Page008" description="Połączenie z zapytaniem „Page008” w skoroszycie." type="100" refreshedVersion="8" minRefreshableVersion="5">
    <extLst>
      <ext xmlns:x15="http://schemas.microsoft.com/office/spreadsheetml/2010/11/main" uri="{DE250136-89BD-433C-8126-D09CA5730AF9}">
        <x15:connection id="4089109b-e83a-420e-8b61-d11c659bd8e8"/>
      </ext>
    </extLst>
  </connection>
  <connection id="6" xr16:uid="{84B05E2E-30A7-4E0A-8602-A7A62EB4A180}" name="Zapytanie — Page009" description="Połączenie z zapytaniem „Page009” w skoroszycie." type="100" refreshedVersion="8" minRefreshableVersion="5">
    <extLst>
      <ext xmlns:x15="http://schemas.microsoft.com/office/spreadsheetml/2010/11/main" uri="{DE250136-89BD-433C-8126-D09CA5730AF9}">
        <x15:connection id="305c7456-9455-4b03-9c01-801a9c08f85c"/>
      </ext>
    </extLst>
  </connection>
  <connection id="7" xr16:uid="{4F834E6D-0FCB-45F6-8906-415EB90AC9CB}" name="Zapytanie — Page010" description="Połączenie z zapytaniem „Page010” w skoroszycie." type="100" refreshedVersion="8" minRefreshableVersion="5">
    <extLst>
      <ext xmlns:x15="http://schemas.microsoft.com/office/spreadsheetml/2010/11/main" uri="{DE250136-89BD-433C-8126-D09CA5730AF9}">
        <x15:connection id="6d7acaac-b98b-45eb-abd8-e21c853ecb30"/>
      </ext>
    </extLst>
  </connection>
  <connection id="8" xr16:uid="{BA8DEAB6-137F-41DA-AD9A-3A99723E668A}" name="Zapytanie — Page011" description="Połączenie z zapytaniem „Page011” w skoroszycie." type="100" refreshedVersion="8" minRefreshableVersion="5">
    <extLst>
      <ext xmlns:x15="http://schemas.microsoft.com/office/spreadsheetml/2010/11/main" uri="{DE250136-89BD-433C-8126-D09CA5730AF9}">
        <x15:connection id="94e1ee88-ee7b-40c9-8299-6a154410c540"/>
      </ext>
    </extLst>
  </connection>
  <connection id="9" xr16:uid="{E0650817-664D-480C-AAF6-B8047C17417D}" name="Zapytanie — Page012" description="Połączenie z zapytaniem „Page012” w skoroszycie." type="100" refreshedVersion="8" minRefreshableVersion="5">
    <extLst>
      <ext xmlns:x15="http://schemas.microsoft.com/office/spreadsheetml/2010/11/main" uri="{DE250136-89BD-433C-8126-D09CA5730AF9}">
        <x15:connection id="44502382-8585-43d0-be8d-ef3dbeb09c8b"/>
      </ext>
    </extLst>
  </connection>
  <connection id="10" xr16:uid="{A07D656F-2AA3-4D41-8F3D-664E663B02D1}" name="Zapytanie — Page013" description="Połączenie z zapytaniem „Page013” w skoroszycie." type="100" refreshedVersion="8" minRefreshableVersion="5">
    <extLst>
      <ext xmlns:x15="http://schemas.microsoft.com/office/spreadsheetml/2010/11/main" uri="{DE250136-89BD-433C-8126-D09CA5730AF9}">
        <x15:connection id="7ff1a0bf-2a72-403f-abe2-d5b79a3017db"/>
      </ext>
    </extLst>
  </connection>
  <connection id="11" xr16:uid="{910D12BD-F63E-4399-B22B-7E380193D29C}" name="Zapytanie — Page014" description="Połączenie z zapytaniem „Page014” w skoroszycie." type="100" refreshedVersion="8" minRefreshableVersion="5">
    <extLst>
      <ext xmlns:x15="http://schemas.microsoft.com/office/spreadsheetml/2010/11/main" uri="{DE250136-89BD-433C-8126-D09CA5730AF9}">
        <x15:connection id="9fe2bf09-4f4a-4851-be90-8a17b6910e27">
          <x15:oledbPr connection="Provider=Microsoft.Mashup.OleDb.1;Data Source=$Workbook$;Location=Page014;Extended Properties=&quot;&quot;">
            <x15:dbTables>
              <x15:dbTable name="Page014"/>
            </x15:dbTables>
          </x15:oledbPr>
        </x15:connection>
      </ext>
    </extLst>
  </connection>
  <connection id="12" xr16:uid="{C6CAFFE0-C522-4308-93B5-437001B2E8E2}" name="Zapytanie — Page015" description="Połączenie z zapytaniem „Page015” w skoroszycie." type="100" refreshedVersion="8" minRefreshableVersion="5">
    <extLst>
      <ext xmlns:x15="http://schemas.microsoft.com/office/spreadsheetml/2010/11/main" uri="{DE250136-89BD-433C-8126-D09CA5730AF9}">
        <x15:connection id="ee440194-e593-4ff4-b224-029b21378270">
          <x15:oledbPr connection="Provider=Microsoft.Mashup.OleDb.1;Data Source=$Workbook$;Location=Page015;Extended Properties=&quot;&quot;">
            <x15:dbTables>
              <x15:dbTable name="Page015"/>
            </x15:dbTables>
          </x15:oledbPr>
        </x15:connection>
      </ext>
    </extLst>
  </connection>
  <connection id="13" xr16:uid="{605BD762-A1AD-472C-B2B2-5D962652AB1E}" name="Zapytanie — Page016" description="Połączenie z zapytaniem „Page016” w skoroszycie." type="100" refreshedVersion="8" minRefreshableVersion="5">
    <extLst>
      <ext xmlns:x15="http://schemas.microsoft.com/office/spreadsheetml/2010/11/main" uri="{DE250136-89BD-433C-8126-D09CA5730AF9}">
        <x15:connection id="89582745-a226-4fdc-8c75-d31228a329d5"/>
      </ext>
    </extLst>
  </connection>
  <connection id="14" xr16:uid="{7F6EA4D6-6B8D-4516-864A-8E8D9A73AD4D}" name="Zapytanie — Page017" description="Połączenie z zapytaniem „Page017” w skoroszycie." type="100" refreshedVersion="8" minRefreshableVersion="5">
    <extLst>
      <ext xmlns:x15="http://schemas.microsoft.com/office/spreadsheetml/2010/11/main" uri="{DE250136-89BD-433C-8126-D09CA5730AF9}">
        <x15:connection id="429b30de-77bc-4f51-bd97-946146b027c3"/>
      </ext>
    </extLst>
  </connection>
  <connection id="15" xr16:uid="{7A578871-0F3D-4BC8-B86B-2CE17A687047}" name="Zapytanie — Page018" description="Połączenie z zapytaniem „Page018” w skoroszycie." type="100" refreshedVersion="8" minRefreshableVersion="5">
    <extLst>
      <ext xmlns:x15="http://schemas.microsoft.com/office/spreadsheetml/2010/11/main" uri="{DE250136-89BD-433C-8126-D09CA5730AF9}">
        <x15:connection id="c93b96c6-de62-4d0d-bc83-634b187a8de1">
          <x15:oledbPr connection="Provider=Microsoft.Mashup.OleDb.1;Data Source=$Workbook$;Location=Page018;Extended Properties=&quot;&quot;">
            <x15:dbTables>
              <x15:dbTable name="Page018"/>
            </x15:dbTables>
          </x15:oledbPr>
        </x15:connection>
      </ext>
    </extLst>
  </connection>
  <connection id="16" xr16:uid="{D0A035ED-8810-429A-9EFD-BC0382658AD7}" name="Zapytanie — Page019" description="Połączenie z zapytaniem „Page019” w skoroszycie." type="100" refreshedVersion="8" minRefreshableVersion="5">
    <extLst>
      <ext xmlns:x15="http://schemas.microsoft.com/office/spreadsheetml/2010/11/main" uri="{DE250136-89BD-433C-8126-D09CA5730AF9}">
        <x15:connection id="fefd3f9b-7fcc-40f0-b3be-f5c93f77d0bb">
          <x15:oledbPr connection="Provider=Microsoft.Mashup.OleDb.1;Data Source=$Workbook$;Location=Page019;Extended Properties=&quot;&quot;">
            <x15:dbTables>
              <x15:dbTable name="Page019"/>
            </x15:dbTables>
          </x15:oledbPr>
        </x15:connection>
      </ext>
    </extLst>
  </connection>
  <connection id="17" xr16:uid="{0C1C9C88-8A27-47E7-9F2F-5490AC36C5EB}" keepAlive="1" name="Zapytanie — Pasywa" description="Połączenie z zapytaniem „Pasywa” w skoroszycie." type="5" refreshedVersion="0" background="1">
    <dbPr connection="Provider=Microsoft.Mashup.OleDb.1;Data Source=$Workbook$;Location=Pasywa;Extended Properties=&quot;&quot;" command="SELECT * FROM [Pasywa]"/>
  </connection>
  <connection id="18" xr16:uid="{490EA315-BAB2-400E-BF88-F87BD89EF454}" keepAlive="1" name="Zapytanie — Pasywa1" description="Połączenie z zapytaniem „Pasywa” w skoroszycie." type="5" refreshedVersion="8" background="1" saveData="1">
    <dbPr connection="Provider=Microsoft.Mashup.OleDb.1;Data Source=$Workbook$;Location=Pasywa;Extended Properties=&quot;&quot;" command="SELECT * FROM [Pasywa]"/>
  </connection>
  <connection id="19" xr16:uid="{73BC459D-9A63-4138-AE10-22DAE46DC596}" keepAlive="1" name="Zapytanie — RPP" description="Połączenie z zapytaniem „RPP” w skoroszycie." type="5" refreshedVersion="0" background="1">
    <dbPr connection="Provider=Microsoft.Mashup.OleDb.1;Data Source=$Workbook$;Location=RPP;Extended Properties=&quot;&quot;" command="SELECT * FROM [RPP]"/>
  </connection>
  <connection id="20" xr16:uid="{D2A262B6-FA05-461D-A26D-3DBBE1496A92}" keepAlive="1" name="Zapytanie — RPP1" description="Połączenie z zapytaniem „RPP” w skoroszycie." type="5" refreshedVersion="8" background="1" saveData="1">
    <dbPr connection="Provider=Microsoft.Mashup.OleDb.1;Data Source=$Workbook$;Location=RPP;Extended Properties=&quot;&quot;" command="SELECT * FROM [RPP]"/>
  </connection>
  <connection id="21" xr16:uid="{A6EACEAC-3C8E-4D10-A08B-0F0F1B8BF99E}" keepAlive="1" name="Zapytanie — RZiS" description="Połączenie z zapytaniem „RZiS” w skoroszycie." type="5" refreshedVersion="0" background="1">
    <dbPr connection="Provider=Microsoft.Mashup.OleDb.1;Data Source=$Workbook$;Location=RZiS;Extended Properties=&quot;&quot;" command="SELECT * FROM [RZiS]"/>
  </connection>
  <connection id="22" xr16:uid="{2CD79995-33F3-4ABB-A34D-689261030A3B}" keepAlive="1" name="Zapytanie — RZiS1" description="Połączenie z zapytaniem „RZiS” w skoroszycie." type="5" refreshedVersion="8" background="1" saveData="1">
    <dbPr connection="Provider=Microsoft.Mashup.OleDb.1;Data Source=$Workbook$;Location=RZiS;Extended Properties=&quot;&quot;" command="SELECT * FROM [RZiS]"/>
  </connection>
</connections>
</file>

<file path=xl/sharedStrings.xml><?xml version="1.0" encoding="utf-8"?>
<sst xmlns="http://schemas.openxmlformats.org/spreadsheetml/2006/main" count="353" uniqueCount="269">
  <si>
    <t>Aktywa Dane w PLN</t>
  </si>
  <si>
    <t>Kwota na dzień</t>
  </si>
  <si>
    <t>kończący bieżący</t>
  </si>
  <si>
    <t>kończący poprzedni</t>
  </si>
  <si>
    <t>rok obrotowy</t>
  </si>
  <si>
    <t>A. AKTYWA TRWAŁE</t>
  </si>
  <si>
    <t>I. Wartości niematerialne i prawne</t>
  </si>
  <si>
    <t>1. Koszty zakończonych prac rozwojowych</t>
  </si>
  <si>
    <t>2. Wartość firmy</t>
  </si>
  <si>
    <t>3. Inne wartości niematerialne i prawne</t>
  </si>
  <si>
    <t>4. Zaliczki na wartości niematerialne i prawne</t>
  </si>
  <si>
    <t>II. Rzeczowe aktywa trwałe</t>
  </si>
  <si>
    <t>1. Środki trwałe</t>
  </si>
  <si>
    <t>a) grunty (w tym prawo użytkowania wieczystego gruntu)</t>
  </si>
  <si>
    <t>b) budynki, lokale, prawa do lokali i obiekty inżynierii</t>
  </si>
  <si>
    <t>lądowej i wodnej</t>
  </si>
  <si>
    <t>c) urządzenia techniczne i maszyny</t>
  </si>
  <si>
    <t>d) środki transportu</t>
  </si>
  <si>
    <t>e) inne środki trwałe</t>
  </si>
  <si>
    <t>2. Środki trwałe w budowie</t>
  </si>
  <si>
    <t>3. Zaliczki na środki trwałe w budowie</t>
  </si>
  <si>
    <t>III. Należności długoterminowe</t>
  </si>
  <si>
    <t>1. Od jednostek powiązanych</t>
  </si>
  <si>
    <t>2. Od pozostałych jednostek, w których jednostka posiada
zaangażowanie w kapitale</t>
  </si>
  <si>
    <t>3. Od pozostałych jednostek</t>
  </si>
  <si>
    <t>IV. Inwestycje długoterminowe</t>
  </si>
  <si>
    <t>1. Nieruchomości</t>
  </si>
  <si>
    <t>2. Wartości niematerialne i prawne</t>
  </si>
  <si>
    <t>3. Długoterminowe aktywa finansowe</t>
  </si>
  <si>
    <t>a. w jednostkach powiązanych</t>
  </si>
  <si>
    <t>- udziały lub akcje</t>
  </si>
  <si>
    <t>- inne papiery wartościowe</t>
  </si>
  <si>
    <t>- udzielone pożyczki</t>
  </si>
  <si>
    <t>- inne długoterminowe aktywa finansowe</t>
  </si>
  <si>
    <t>b. w pozostałych jednostkach, w których jednostka
posiada zaangażowanie w kapitale</t>
  </si>
  <si>
    <t>c. w pozostałych jednostkach</t>
  </si>
  <si>
    <t>4. Inne inwestycje długoterminowe</t>
  </si>
  <si>
    <t>V. Długoterminowe rozliczenia międzyokresowe</t>
  </si>
  <si>
    <t>1. Aktywa z tytułu odroczonego podatku dochodowego</t>
  </si>
  <si>
    <t>2. Inne rozliczenia międzyokresowe</t>
  </si>
  <si>
    <t>B. AKTYWA OBROTOWE</t>
  </si>
  <si>
    <t>I. Zapasy</t>
  </si>
  <si>
    <t>1. Materiały</t>
  </si>
  <si>
    <t>2. Półprodukty i produkty w toku</t>
  </si>
  <si>
    <t>3. Produkty gotowe</t>
  </si>
  <si>
    <t>4. Towary</t>
  </si>
  <si>
    <t>5. Zaliczki na dostawy i usługi</t>
  </si>
  <si>
    <t>II. Należności krótkoterminowe</t>
  </si>
  <si>
    <t>1. Należności od jednostek powiązanych</t>
  </si>
  <si>
    <t>a) z tytułu dostaw i usług, o okresie spłaty:</t>
  </si>
  <si>
    <t>- do 12 miesięcy</t>
  </si>
  <si>
    <t>- powyżej 12 miesięcy</t>
  </si>
  <si>
    <t>b) inne</t>
  </si>
  <si>
    <t>2. Należności od pozostałych jednostek, w których jednostka
posiada zaangażowanie w kapitale</t>
  </si>
  <si>
    <t>3. Należności od pozostałych jednostek</t>
  </si>
  <si>
    <t>b) z tytułu podatków, dotacji, ceł, ubezpieczeń</t>
  </si>
  <si>
    <t>społecznych i zdrowotnych oraz innych tytułów</t>
  </si>
  <si>
    <t>publicznoprawnych</t>
  </si>
  <si>
    <t>c) inne</t>
  </si>
  <si>
    <t>d) dochodzone na drodze sądowej</t>
  </si>
  <si>
    <t>III. Inwestycje krótkoterminowe</t>
  </si>
  <si>
    <t>1. Krótkoterminowe aktywa finansowe</t>
  </si>
  <si>
    <t>a) w jednostkach powiązanych</t>
  </si>
  <si>
    <t>- inne krótkoterminowe aktywa finansowe</t>
  </si>
  <si>
    <t>b) w pozostałych jednostkach</t>
  </si>
  <si>
    <t>c) Środki pieniężne i inne aktywa pieniężne</t>
  </si>
  <si>
    <t>- środki pieniężne w kasie i na rachunkach</t>
  </si>
  <si>
    <t>- inne środki pieniężne</t>
  </si>
  <si>
    <t>- inne aktywa pieniężne</t>
  </si>
  <si>
    <t>2. Inne inwestycje krótkoterminowe</t>
  </si>
  <si>
    <t>IV. Krótkoterminowe rozliczenia międzyokresowe</t>
  </si>
  <si>
    <t>C. NALEŻNE WPŁATY NA KAPITAŁ (FUNDUSZ) PODSTAWOWY</t>
  </si>
  <si>
    <t>D. UDZIAŁY (AKCJE) WŁASNE</t>
  </si>
  <si>
    <t>AKTYWA RAZEM</t>
  </si>
  <si>
    <t>Pasywa Dane w PLN</t>
  </si>
  <si>
    <t>A. KAPITAŁ (FUNDUSZ) WŁASNY</t>
  </si>
  <si>
    <t>I. Kapitał (fundusz) podstawowy</t>
  </si>
  <si>
    <t>II. Kapitał (fundusz) zapasowy, w tym:</t>
  </si>
  <si>
    <t>- nadwyżka wartości sprzedaży (wartości emisyjnej) nad</t>
  </si>
  <si>
    <t>wartością nominalną udziałów (akcji)</t>
  </si>
  <si>
    <t>III. Kapitał (fundusz) z aktualizacji wyceny, w tym:</t>
  </si>
  <si>
    <t>- z tytułu aktualizacji wartości godziwej</t>
  </si>
  <si>
    <t>IV. Pozostałe kapitały (fundusze) rezerwowe</t>
  </si>
  <si>
    <t>- tworzone zgodnie z umową (statutem) spółki</t>
  </si>
  <si>
    <t>- na udziały (akcje) własne</t>
  </si>
  <si>
    <t>V. Zysk (strata) z lat ubiegłych</t>
  </si>
  <si>
    <t>VI. Zysk (strata) netto</t>
  </si>
  <si>
    <t>VII. Odpisy z zysku netto w ciągu roku obrotowego
(wielkość ujemna)</t>
  </si>
  <si>
    <t>B. ZOBOWIĄZANIA I REZERWY NA ZOBOWIĄZANIA</t>
  </si>
  <si>
    <t>I. Rezerwy na zobowiązania</t>
  </si>
  <si>
    <t>1. Rezerwa z tytułu odroczonego podatku dochodowego</t>
  </si>
  <si>
    <t>2. Rezerwa na świadczenia emerytalne i podobne</t>
  </si>
  <si>
    <t>- długoterminowa</t>
  </si>
  <si>
    <t>- krótkoterminowa</t>
  </si>
  <si>
    <t>3. Pozostałe rezerwy</t>
  </si>
  <si>
    <t>- długoterminowe</t>
  </si>
  <si>
    <t>- krótkoterminowe</t>
  </si>
  <si>
    <t>II. Zobowiązania długoterminowe</t>
  </si>
  <si>
    <t>1. Wobec jednostek powiązanych</t>
  </si>
  <si>
    <t>2. Wobec pozostałych jednostek, w których jednostka
posiada zaangażowanie w kapitale</t>
  </si>
  <si>
    <t>3. Wobec pozostałych jednostek</t>
  </si>
  <si>
    <t>a) kredyty i pożyczki</t>
  </si>
  <si>
    <t>b) z tytułu emisji dłużnych papierów wartościowych</t>
  </si>
  <si>
    <t>c) inne zobowiązania finansowe</t>
  </si>
  <si>
    <t>d) zobowiązania wekslowe</t>
  </si>
  <si>
    <t>e) inne</t>
  </si>
  <si>
    <t>III. Zobowiązania krótkoterminowe</t>
  </si>
  <si>
    <t>a) z tytułu dostaw i usług, o okresie wymagalności, w</t>
  </si>
  <si>
    <t>tym:</t>
  </si>
  <si>
    <t>a) z tytułu dostaw i usług, o okresie wymagalności:</t>
  </si>
  <si>
    <t>d) z tytułu dostaw i usług, o okresie wymagalności:</t>
  </si>
  <si>
    <t>e) zaliczki otrzymane na dostawy i usługi</t>
  </si>
  <si>
    <t>f) zobowiązania wekslowe</t>
  </si>
  <si>
    <t>g) z tytułu podatków, ceł, ubezpieczeń społecznych i</t>
  </si>
  <si>
    <t>zdrowotnych oraz innych tytułów publicznoprawnych</t>
  </si>
  <si>
    <t>h) z tytułu wynagrodzeń</t>
  </si>
  <si>
    <t>i) inne</t>
  </si>
  <si>
    <t>4. Fundusze specjalne</t>
  </si>
  <si>
    <t>IV. Rozliczenia międzyokresowe</t>
  </si>
  <si>
    <t>1. Ujemna wartość firmy</t>
  </si>
  <si>
    <t>PASYWA RAZEM</t>
  </si>
  <si>
    <t>RACHUNEK ZYSKÓW I STRAT</t>
  </si>
  <si>
    <t>Wariant porównawczy Dane w PLN</t>
  </si>
  <si>
    <t>Kwota za bieżący</t>
  </si>
  <si>
    <t>Kwota za poprzedni</t>
  </si>
  <si>
    <t>A. Przychody netto ze sprzedaży i zrównane z nimi, w tym:</t>
  </si>
  <si>
    <t>- od jednostek powiązanych</t>
  </si>
  <si>
    <t>I. Przychody netto ze sprzedaży produktów</t>
  </si>
  <si>
    <t>II. Zmiana stanu produktów (zwiększenie - wartość dodatnia,
zmniejszenie - wartość ujemna)</t>
  </si>
  <si>
    <t>III. Koszt wytworzenia produktów na własne potrzeby jednostki</t>
  </si>
  <si>
    <t>IV. Przychody netto ze sprzedaży towarów</t>
  </si>
  <si>
    <t>B. Koszty działalności operacyjnej</t>
  </si>
  <si>
    <t>I. Amortyzacja</t>
  </si>
  <si>
    <t>II. Zużycie materiałów i energii</t>
  </si>
  <si>
    <t>III. Usługi obce</t>
  </si>
  <si>
    <t>IV. Podatki i opłaty, w tym:</t>
  </si>
  <si>
    <t>- podatek akcyzowy</t>
  </si>
  <si>
    <t>V. Wynagrodzenia</t>
  </si>
  <si>
    <t>VI. Ubezpieczenia społeczne i inne świadczenia, w tym:</t>
  </si>
  <si>
    <t>- emerytalne</t>
  </si>
  <si>
    <t>VII. Pozostałe koszty rodzajowe</t>
  </si>
  <si>
    <t>VIII. Wartość sprzedanych towarów</t>
  </si>
  <si>
    <t>C. Zysk (strata) ze sprzedaży (A-B)</t>
  </si>
  <si>
    <t>D. Pozostałe przychody operacyjne</t>
  </si>
  <si>
    <t>I. Zysk z tytułu rozchodu niefinansowych aktywów trwałych</t>
  </si>
  <si>
    <t>II. Dotacje</t>
  </si>
  <si>
    <t>III. Aktualizacja wartości aktywów niefinansowych</t>
  </si>
  <si>
    <t>IV. Inne przychody operacyjne</t>
  </si>
  <si>
    <t>E. Pozostałe koszty operacyjne</t>
  </si>
  <si>
    <t>I. Strata z tytułu rozchodu niefinansowych aktywów trwałych</t>
  </si>
  <si>
    <t>II. Aktualizacja wartości aktywów niefinansowych</t>
  </si>
  <si>
    <t>III. Inne koszty operacyjne</t>
  </si>
  <si>
    <t>F. Zysk (strata) z działalności operacyjnej (C+D-E)</t>
  </si>
  <si>
    <t>G. Przychody finansowe</t>
  </si>
  <si>
    <t>I. Dywidendy i udziały w zyskach, w tym:</t>
  </si>
  <si>
    <t>a) od jednostek powiązanych, w tym:</t>
  </si>
  <si>
    <t>- w których jednostka posiada zaangażowanie w kapitale</t>
  </si>
  <si>
    <t>b) od jednostek pozostałych, w tym:</t>
  </si>
  <si>
    <t>II. Odsetki, w tym:</t>
  </si>
  <si>
    <t>III. Zysk z tytułu rozchodu aktywów finansowych, w tym:</t>
  </si>
  <si>
    <t>- w jednostkach powiązanych</t>
  </si>
  <si>
    <t>IV. Aktualizacja wartości aktywów finansowych</t>
  </si>
  <si>
    <t>V. Inne</t>
  </si>
  <si>
    <t>H. Koszty finansowe</t>
  </si>
  <si>
    <t>I. Odsetki, w tym:</t>
  </si>
  <si>
    <t>- dla jednostek powiązanych</t>
  </si>
  <si>
    <t>II. Strata z tytułu rozchodu aktywów finansowych, w tym:</t>
  </si>
  <si>
    <t>III. Aktualizacja wartości aktywów finansowych</t>
  </si>
  <si>
    <t>IV. Inne</t>
  </si>
  <si>
    <t>I. Zysk (strata) brutto (F+G-H)</t>
  </si>
  <si>
    <t>J. Podatek dochodowy</t>
  </si>
  <si>
    <t>K. Pozostałe obowiązkowe zmniejszenia zysku (zwiększenia
straty)</t>
  </si>
  <si>
    <t>L. Zysk (strata) netto (I-J-K)</t>
  </si>
  <si>
    <t>RACHUNEK PRZEPŁYWÓW PIENIĘŻNYCH</t>
  </si>
  <si>
    <t>Metoda pośrednia Dane w PLN</t>
  </si>
  <si>
    <t>(I±II)</t>
  </si>
  <si>
    <t>A. Przepływy środków pieniężnych z działalności operacyjnej</t>
  </si>
  <si>
    <t>I. Zysk (strata) netto</t>
  </si>
  <si>
    <t>II. Korekty razem</t>
  </si>
  <si>
    <t>1. Amortyzacja</t>
  </si>
  <si>
    <t>2. Zyski (straty) z tytułu różnic kursowych</t>
  </si>
  <si>
    <t>3. Odsetki i udziały w zyskach (dywidendy)</t>
  </si>
  <si>
    <t>4. Zysk (strata) z działalności inwestycyjnej</t>
  </si>
  <si>
    <t>5. Zmiana stanu rezerw</t>
  </si>
  <si>
    <t>6. Zmiana stanu zapasów</t>
  </si>
  <si>
    <t>7. Zmiana stanu należności</t>
  </si>
  <si>
    <t>8. Zmiana stanu zobowiązań krótkoterminowych, z</t>
  </si>
  <si>
    <t>wyjątkiem pożyczek i kredytów</t>
  </si>
  <si>
    <t>9. Zmiana stanu rozliczeń międzyokresowych</t>
  </si>
  <si>
    <t>10. Inne korekty</t>
  </si>
  <si>
    <t>III. Przepływy pieniężne netto z działalności operacyjnej</t>
  </si>
  <si>
    <t>B. Przepływy środków pieniężnych z działalności inwestycyjnej</t>
  </si>
  <si>
    <t>I. Wpływy</t>
  </si>
  <si>
    <t>1. Zbycie wartości niematerialnych i prawnych oraz</t>
  </si>
  <si>
    <t>rzeczowych aktywów trwałych</t>
  </si>
  <si>
    <t>2. Zbycie inwestycji w nieruchomości oraz wartości
niematerialne i prawne</t>
  </si>
  <si>
    <t>3. Z aktywów finansowych, w tym:</t>
  </si>
  <si>
    <t>- zbycie aktywów finansowych</t>
  </si>
  <si>
    <t>- dywidendy i udziały w zyskach</t>
  </si>
  <si>
    <t>- spłata udzielonych pożyczek długoterminowych</t>
  </si>
  <si>
    <t>- odsetki</t>
  </si>
  <si>
    <t>- inne wpływy z aktywów finansowych</t>
  </si>
  <si>
    <t>4. Inne wpływy inwestycyjne</t>
  </si>
  <si>
    <t>II. Wydatki</t>
  </si>
  <si>
    <t>1. Nabycie wartości niematerialnych i prawnych oraz</t>
  </si>
  <si>
    <t>2. Inwestycje w nieruchomości oraz wartości niematerialne i
prawne</t>
  </si>
  <si>
    <t>3. Na aktywa finansowe, w tym:</t>
  </si>
  <si>
    <t>- nabycie aktywów finansowych</t>
  </si>
  <si>
    <t>- nabycie akcji własnych</t>
  </si>
  <si>
    <t>- udzielone pożyczki długoterminowe</t>
  </si>
  <si>
    <t>4. Inne wydatki inwestycyjne</t>
  </si>
  <si>
    <t>III. Przepływy pieniężne netto z działalności inwestycyjnej</t>
  </si>
  <si>
    <t>C. Przepływy środków pieniężnych z działalności finansowej</t>
  </si>
  <si>
    <t>1. Wpływy netto z wydania udziałów (emisji akcji) i innych</t>
  </si>
  <si>
    <t>instrumentów kapitałowych oraz dopłat do kapitału</t>
  </si>
  <si>
    <t>2. Kredyty i pożyczki</t>
  </si>
  <si>
    <t>3. Emisja dłużnych papierów wartościowych</t>
  </si>
  <si>
    <t>4. Inne wpływy finansowe</t>
  </si>
  <si>
    <t>1. Nabycie udziałów (akcji) własnych</t>
  </si>
  <si>
    <t>2. Dywidendy i inne wypłaty na rzecz właścicieli</t>
  </si>
  <si>
    <t>3. Inne, niż wypłaty na rzecz właścicieli, wydatki z tytułu
podziału zysku</t>
  </si>
  <si>
    <t>4. Spłaty kredytów i pożyczek</t>
  </si>
  <si>
    <t>5. Wykup dłużnych papierów wartościowych</t>
  </si>
  <si>
    <t>6. Z tytułu innych zobowiązań finansowych</t>
  </si>
  <si>
    <t>7. Płatności zobowiązań z tytułu umów leasingu
finansowego</t>
  </si>
  <si>
    <t>8. Odsetki</t>
  </si>
  <si>
    <t>9. Inne wydatki finansowe</t>
  </si>
  <si>
    <t>III. Przepływy pieniężne netto z działalności finansowej (I–</t>
  </si>
  <si>
    <t>D. Przepływy pieniężne netto, razem</t>
  </si>
  <si>
    <t>E. Bilansowa zmiana stanu środków pieniężnych, w tym:</t>
  </si>
  <si>
    <t>- zmiana stanu środków pieniężnych z tytułu różnic kursowych</t>
  </si>
  <si>
    <t>F. Środki pieniężne na początek okresu</t>
  </si>
  <si>
    <t>G. Środki pieniężne na koniec okresu, w tym:</t>
  </si>
  <si>
    <t>- o ograniczonej możliwości dysponowania</t>
  </si>
  <si>
    <t>Płynność bieżąca</t>
  </si>
  <si>
    <t>Płynność szybka</t>
  </si>
  <si>
    <t>Wskaźnik gotówkowy</t>
  </si>
  <si>
    <t>PŁYNNOŚĆ FINANSOWA</t>
  </si>
  <si>
    <t>Kapitał obrotowy netto</t>
  </si>
  <si>
    <t>RENTOWNOŚĆ</t>
  </si>
  <si>
    <t>Marża brutto</t>
  </si>
  <si>
    <t>Marża operacyjna EBIT</t>
  </si>
  <si>
    <t>ROA</t>
  </si>
  <si>
    <t>ROE</t>
  </si>
  <si>
    <t>ROIC</t>
  </si>
  <si>
    <t>Marża netto (ROS)</t>
  </si>
  <si>
    <t>ZADŁUŻENIE I WYPŁACALNOŚĆ</t>
  </si>
  <si>
    <t>D/E (dług/kap. Własny)</t>
  </si>
  <si>
    <t>Dług netto / EBITDA</t>
  </si>
  <si>
    <t>Wskaźnik pokrycia odsetek</t>
  </si>
  <si>
    <t>Wskaźnik ogólnego zadłużenia</t>
  </si>
  <si>
    <t>SPRAWNOŚĆ / EFEKTYWNOSC OPERACYJNA</t>
  </si>
  <si>
    <t>Rotacja należności</t>
  </si>
  <si>
    <t>Rotacja zapasów</t>
  </si>
  <si>
    <t>Rotacja zobowiązań</t>
  </si>
  <si>
    <t>Cykl konwersji gotówki</t>
  </si>
  <si>
    <t>Rotacja aktywów</t>
  </si>
  <si>
    <t>2025</t>
  </si>
  <si>
    <t>2024</t>
  </si>
  <si>
    <t>2023</t>
  </si>
  <si>
    <t>AKTYWA</t>
  </si>
  <si>
    <t>PASYWA</t>
  </si>
  <si>
    <t>WYKRESY TRENDU</t>
  </si>
  <si>
    <t xml:space="preserve">Rok </t>
  </si>
  <si>
    <t>Przychody (PLN)</t>
  </si>
  <si>
    <t>Marża netto</t>
  </si>
  <si>
    <t>Próg bezp. (1.0)</t>
  </si>
  <si>
    <t>Dług netto/EBITDA</t>
  </si>
  <si>
    <t>*przybliżenie!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</si>
</sst>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rgb="FF00206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4" fontId="0" fillId="0" borderId="1" xfId="0" applyNumberForma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1" fillId="0" borderId="0" xfId="0" applyNumberFormat="1" applyFont="1"/>
    <xf numFmtId="4" fontId="0" fillId="0" borderId="0" xfId="0" applyNumberFormat="1"/>
    <xf numFmtId="4" fontId="0" fillId="0" borderId="1" xfId="0" applyNumberFormat="1" applyBorder="1"/>
    <xf numFmtId="0" fontId="0" fillId="0" borderId="0" xfId="0" applyAlignment="1">
      <alignment horizontal="right"/>
    </xf>
    <xf numFmtId="0" fontId="0" fillId="0" borderId="0" xfId="0" quotePrefix="1"/>
    <xf numFmtId="0" fontId="4" fillId="2" borderId="0" xfId="0" applyFont="1" applyFill="1" applyAlignment="1">
      <alignment horizontal="right"/>
    </xf>
    <xf numFmtId="0" fontId="4" fillId="2" borderId="0" xfId="0" applyFont="1" applyFill="1"/>
    <xf numFmtId="0" fontId="0" fillId="0" borderId="2" xfId="0" applyBorder="1"/>
    <xf numFmtId="4" fontId="0" fillId="0" borderId="2" xfId="0" applyNumberFormat="1" applyBorder="1"/>
    <xf numFmtId="2" fontId="0" fillId="0" borderId="2" xfId="0" applyNumberFormat="1" applyBorder="1"/>
    <xf numFmtId="0" fontId="5" fillId="0" borderId="0" xfId="0" applyFont="1"/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4" fillId="2" borderId="2" xfId="0" applyFont="1" applyFill="1" applyBorder="1"/>
    <xf numFmtId="164" fontId="0" fillId="0" borderId="2" xfId="0" applyNumberFormat="1" applyBorder="1"/>
    <xf numFmtId="165" fontId="0" fillId="0" borderId="2" xfId="1" applyNumberFormat="1" applyFont="1" applyBorder="1"/>
    <xf numFmtId="1" fontId="0" fillId="0" borderId="2" xfId="0" applyNumberFormat="1" applyBorder="1"/>
    <xf numFmtId="0" fontId="0" fillId="0" borderId="0" xfId="0" applyBorder="1" applyAlignment="1">
      <alignment horizontal="center"/>
    </xf>
  </cellXfs>
  <cellStyles count="2">
    <cellStyle name="Normalny" xfId="0" builtinId="0"/>
    <cellStyle name="Procentowy" xfId="1" builtinId="5"/>
  </cellStyles>
  <dxfs count="19">
    <dxf>
      <font>
        <b/>
        <charset val="238"/>
      </font>
      <numFmt numFmtId="4" formatCode="#,##0.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numFmt numFmtId="4" formatCode="#,##0.00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</dxf>
    <dxf>
      <font>
        <b val="0"/>
        <i val="0"/>
        <color auto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Styl tabeli 1" pivot="0" count="3" xr9:uid="{E43DCADB-16D1-4402-9149-79E99D58FA55}">
      <tableStyleElement type="wholeTable" dxfId="18"/>
      <tableStyleElement type="headerRow" dxfId="17"/>
      <tableStyleElement type="first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l-PL" b="1">
                <a:solidFill>
                  <a:sysClr val="windowText" lastClr="000000"/>
                </a:solidFill>
              </a:rPr>
              <a:t>Przychody i marża netto 2023 - 2025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Wykresy!$C$5</c:f>
              <c:strCache>
                <c:ptCount val="1"/>
                <c:pt idx="0">
                  <c:v>Przychody (PLN)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Wykresy!$B$6:$B$8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Wykresy!$C$6:$C$8</c:f>
              <c:numCache>
                <c:formatCode>#,##0.00</c:formatCode>
                <c:ptCount val="3"/>
                <c:pt idx="0">
                  <c:v>21733433.309999999</c:v>
                </c:pt>
                <c:pt idx="1">
                  <c:v>22061763.34</c:v>
                </c:pt>
                <c:pt idx="2">
                  <c:v>32029123.670000002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9D-431D-B45E-9BA11C5D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6964800"/>
        <c:axId val="906978240"/>
      </c:barChart>
      <c:lineChart>
        <c:grouping val="standard"/>
        <c:varyColors val="0"/>
        <c:ser>
          <c:idx val="1"/>
          <c:order val="1"/>
          <c:tx>
            <c:strRef>
              <c:f>Wykresy!$D$5</c:f>
              <c:strCache>
                <c:ptCount val="1"/>
                <c:pt idx="0">
                  <c:v>Marża netto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  <a:headEnd type="oval"/>
              <a:tailEnd type="oval"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Wykresy!$B$6:$B$8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Wykresy!$D$6:$D$8</c:f>
              <c:numCache>
                <c:formatCode>0.0%</c:formatCode>
                <c:ptCount val="3"/>
                <c:pt idx="0">
                  <c:v>9.2675454967036691E-2</c:v>
                </c:pt>
                <c:pt idx="1">
                  <c:v>2.5128709408048615E-2</c:v>
                </c:pt>
                <c:pt idx="2">
                  <c:v>7.169706807029852E-2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9D-431D-B45E-9BA11C5D7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6961920"/>
        <c:axId val="906967680"/>
      </c:lineChart>
      <c:catAx>
        <c:axId val="906964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0747125393513361"/>
              <c:y val="0.89579467037476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6978240"/>
        <c:crosses val="autoZero"/>
        <c:auto val="1"/>
        <c:lblAlgn val="ctr"/>
        <c:lblOffset val="100"/>
        <c:noMultiLvlLbl val="0"/>
      </c:catAx>
      <c:valAx>
        <c:axId val="90697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ysClr val="windowText" lastClr="000000"/>
                    </a:solidFill>
                  </a:rPr>
                  <a:t>Przychody (PLN)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6964800"/>
        <c:crosses val="autoZero"/>
        <c:crossBetween val="between"/>
      </c:valAx>
      <c:valAx>
        <c:axId val="906967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ysClr val="windowText" lastClr="000000"/>
                    </a:solidFill>
                  </a:rPr>
                  <a:t>Marża netto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06961920"/>
        <c:crosses val="max"/>
        <c:crossBetween val="between"/>
      </c:valAx>
      <c:catAx>
        <c:axId val="906961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0696768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l-PL" b="1">
                <a:solidFill>
                  <a:sysClr val="windowText" lastClr="000000"/>
                </a:solidFill>
              </a:rPr>
              <a:t>Płynność</a:t>
            </a:r>
            <a:r>
              <a:rPr lang="pl-PL" b="1" baseline="0">
                <a:solidFill>
                  <a:sysClr val="windowText" lastClr="000000"/>
                </a:solidFill>
              </a:rPr>
              <a:t> finansowa 2023-2025</a:t>
            </a:r>
            <a:endParaRPr lang="pl-PL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Wykresy!$E$5</c:f>
              <c:strCache>
                <c:ptCount val="1"/>
                <c:pt idx="0">
                  <c:v>Płynność bieżąca</c:v>
                </c:pt>
              </c:strCache>
            </c:strRef>
          </c:tx>
          <c:spPr>
            <a:ln w="28575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76000"/>
                </a:schemeClr>
              </a:solidFill>
              <a:ln w="9525">
                <a:solidFill>
                  <a:schemeClr val="accent5">
                    <a:shade val="76000"/>
                  </a:schemeClr>
                </a:solidFill>
              </a:ln>
              <a:effectLst/>
            </c:spPr>
          </c:marker>
          <c:cat>
            <c:numRef>
              <c:f>Wykresy!$B$6:$B$8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Wykresy!$E$6:$E$8</c:f>
              <c:numCache>
                <c:formatCode>0.00</c:formatCode>
                <c:ptCount val="3"/>
                <c:pt idx="0">
                  <c:v>3.9918134563259842</c:v>
                </c:pt>
                <c:pt idx="1">
                  <c:v>3.6296011324345763</c:v>
                </c:pt>
                <c:pt idx="2">
                  <c:v>5.007939128102044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F-4932-9DCD-67A7BE293DAA}"/>
            </c:ext>
          </c:extLst>
        </c:ser>
        <c:ser>
          <c:idx val="2"/>
          <c:order val="2"/>
          <c:tx>
            <c:strRef>
              <c:f>Wykresy!$F$5</c:f>
              <c:strCache>
                <c:ptCount val="1"/>
                <c:pt idx="0">
                  <c:v>Płynność szybka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Wykresy!$B$6:$B$8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Wykresy!$F$6:$F$8</c:f>
              <c:numCache>
                <c:formatCode>0.00</c:formatCode>
                <c:ptCount val="3"/>
                <c:pt idx="0">
                  <c:v>2.8123852610758315</c:v>
                </c:pt>
                <c:pt idx="1">
                  <c:v>1.6719416913408978</c:v>
                </c:pt>
                <c:pt idx="2">
                  <c:v>2.6793838210924843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9F-4932-9DCD-67A7BE293DAA}"/>
            </c:ext>
          </c:extLst>
        </c:ser>
        <c:ser>
          <c:idx val="3"/>
          <c:order val="3"/>
          <c:tx>
            <c:strRef>
              <c:f>Wykresy!$G$5</c:f>
              <c:strCache>
                <c:ptCount val="1"/>
                <c:pt idx="0">
                  <c:v>Wskaźnik gotówkowy</c:v>
                </c:pt>
              </c:strCache>
            </c:strRef>
          </c:tx>
          <c:spPr>
            <a:ln w="28575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77000"/>
                </a:schemeClr>
              </a:solidFill>
              <a:ln w="9525">
                <a:solidFill>
                  <a:schemeClr val="accent5">
                    <a:tint val="77000"/>
                  </a:schemeClr>
                </a:solidFill>
              </a:ln>
              <a:effectLst/>
            </c:spPr>
          </c:marker>
          <c:cat>
            <c:numRef>
              <c:f>Wykresy!$B$6:$B$8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Wykresy!$G$6:$G$8</c:f>
              <c:numCache>
                <c:formatCode>0.00</c:formatCode>
                <c:ptCount val="3"/>
                <c:pt idx="0">
                  <c:v>1.7540672574292302</c:v>
                </c:pt>
                <c:pt idx="1">
                  <c:v>0.62253243564461347</c:v>
                </c:pt>
                <c:pt idx="2">
                  <c:v>1.0190654629220541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9F-4932-9DCD-67A7BE293DAA}"/>
            </c:ext>
          </c:extLst>
        </c:ser>
        <c:ser>
          <c:idx val="4"/>
          <c:order val="4"/>
          <c:tx>
            <c:strRef>
              <c:f>Wykresy!$H$5</c:f>
              <c:strCache>
                <c:ptCount val="1"/>
                <c:pt idx="0">
                  <c:v>Próg bezp. (1.0)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Wykresy!$B$6:$B$8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Wykresy!$H$6:$H$8</c:f>
              <c:numCache>
                <c:formatCode>0.00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9F-4932-9DCD-67A7BE293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067920"/>
        <c:axId val="8850732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Wykresy!$B$5</c15:sqref>
                        </c15:formulaRef>
                      </c:ext>
                    </c:extLst>
                    <c:strCache>
                      <c:ptCount val="1"/>
                      <c:pt idx="0">
                        <c:v>Rok 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shade val="53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shade val="53000"/>
                      </a:schemeClr>
                    </a:solidFill>
                    <a:ln w="9525">
                      <a:solidFill>
                        <a:schemeClr val="accent5">
                          <a:shade val="53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Wykresy!$B$6:$B$8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Wykresy!$B$6:$B$8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59F-4932-9DCD-67A7BE293DAA}"/>
                  </c:ext>
                </c:extLst>
              </c15:ser>
            </c15:filteredLineSeries>
          </c:ext>
        </c:extLst>
      </c:lineChart>
      <c:catAx>
        <c:axId val="885067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5073200"/>
        <c:crosses val="autoZero"/>
        <c:auto val="1"/>
        <c:lblAlgn val="ctr"/>
        <c:lblOffset val="100"/>
        <c:noMultiLvlLbl val="0"/>
      </c:catAx>
      <c:valAx>
        <c:axId val="885073200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b="1">
                    <a:solidFill>
                      <a:sysClr val="windowText" lastClr="000000"/>
                    </a:solidFill>
                  </a:rPr>
                  <a:t>Wartość wskaźnika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506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Dług netto/EBITDA</a:t>
            </a:r>
            <a:r>
              <a:rPr lang="pl-PL" b="1">
                <a:solidFill>
                  <a:sysClr val="windowText" lastClr="000000"/>
                </a:solidFill>
              </a:rPr>
              <a:t> 2023-2025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Wykresy!$I$5</c:f>
              <c:strCache>
                <c:ptCount val="1"/>
                <c:pt idx="0">
                  <c:v>Dług netto/EBITDA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Wykresy!$B$6:$B$8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Wykresy!$I$6:$I$8</c:f>
              <c:numCache>
                <c:formatCode>0.00</c:formatCode>
                <c:ptCount val="3"/>
                <c:pt idx="0">
                  <c:v>-1.2624237022604707</c:v>
                </c:pt>
                <c:pt idx="1">
                  <c:v>-1.2868379447504208</c:v>
                </c:pt>
                <c:pt idx="2">
                  <c:v>-0.60119031412031332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0-474F-ABBC-0D9513AE0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408624"/>
        <c:axId val="756400944"/>
      </c:barChart>
      <c:catAx>
        <c:axId val="75640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6400944"/>
        <c:crosses val="autoZero"/>
        <c:auto val="1"/>
        <c:lblAlgn val="ctr"/>
        <c:lblOffset val="100"/>
        <c:noMultiLvlLbl val="0"/>
      </c:catAx>
      <c:valAx>
        <c:axId val="75640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>
                    <a:solidFill>
                      <a:sysClr val="windowText" lastClr="000000"/>
                    </a:solidFill>
                  </a:rPr>
                  <a:t>x EBITDA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5640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594359</xdr:colOff>
      <xdr:row>11</xdr:row>
      <xdr:rowOff>20001</xdr:rowOff>
    </xdr:from>
    <xdr:to>
      <xdr:col>6</xdr:col>
      <xdr:colOff>790575</xdr:colOff>
      <xdr:row>28</xdr:row>
      <xdr:rowOff>137159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3B4BBA3-DC43-468F-8B81-64993D525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1303020</xdr:colOff>
      <xdr:row>10</xdr:row>
      <xdr:rowOff>169546</xdr:rowOff>
    </xdr:from>
    <xdr:to>
      <xdr:col>14</xdr:col>
      <xdr:colOff>19049</xdr:colOff>
      <xdr:row>28</xdr:row>
      <xdr:rowOff>24766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209834C0-6E1D-FBC9-AAB3-E2379414C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579120</xdr:colOff>
      <xdr:row>29</xdr:row>
      <xdr:rowOff>148590</xdr:rowOff>
    </xdr:from>
    <xdr:to>
      <xdr:col>6</xdr:col>
      <xdr:colOff>781050</xdr:colOff>
      <xdr:row>45</xdr:row>
      <xdr:rowOff>76199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E01F5BAD-3714-0013-48A4-13BA466C0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7374DD7-A5BB-43A8-AE58-2050D110F605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1" tableColumnId="1"/>
      <queryTableField id="2" name="2" tableColumnId="2"/>
      <queryTableField id="3" name="3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8" xr16:uid="{1FAB3B67-FD49-4898-A00A-D026F86C4A6C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1" tableColumnId="1"/>
      <queryTableField id="2" name="2" tableColumnId="2"/>
      <queryTableField id="3" name="3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2" xr16:uid="{15ACEB0C-5BDD-4D02-AF96-53661CDFF4B5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1" tableColumnId="1"/>
      <queryTableField id="2" name="2" tableColumnId="2"/>
      <queryTableField id="3" name="3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0" xr16:uid="{084E510F-E67E-4E5B-AFB2-CFA546B5474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1" tableColumnId="1"/>
      <queryTableField id="2" name="2" tableColumnId="2"/>
      <queryTableField id="3" name="3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A5A264-82AE-4FA1-A153-779C4630A28B}" name="Aktywa" displayName="Aktywa" ref="A1:D95" tableType="queryTable" totalsRowShown="0">
  <autoFilter ref="A1:D95" xr:uid="{92A5A264-82AE-4FA1-A153-779C4630A28B}"/>
  <tableColumns count="4">
    <tableColumn id="1" xr3:uid="{29504292-EC6E-48AC-90A9-891EA41EEA23}" uniqueName="1" name="AKTYWA" queryTableFieldId="1" dataDxfId="11"/>
    <tableColumn id="2" xr3:uid="{91FEA8C4-BB3C-4F0F-A216-91B1933620D1}" uniqueName="2" name="2025" queryTableFieldId="2" dataDxfId="10"/>
    <tableColumn id="3" xr3:uid="{7F82E24E-A035-42B8-B58D-D0F8ECBB39B6}" uniqueName="3" name="2024" queryTableFieldId="3" dataDxfId="9"/>
    <tableColumn id="4" xr3:uid="{C475B92E-1275-4572-9516-1C6AA460660C}" uniqueName="4" name="2023" queryTableFieldId="4" dataDxfId="8"/>
  </tableColumns>
  <tableStyleInfo name="Styl tabeli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0FBEE4-6291-4AEB-990A-2FA6737FDCA0}" name="Pasywa" displayName="Pasywa" ref="A1:D68" tableType="queryTable" totalsRowShown="0">
  <autoFilter ref="A1:D68" xr:uid="{1C0FBEE4-6291-4AEB-990A-2FA6737FDCA0}"/>
  <tableColumns count="4">
    <tableColumn id="1" xr3:uid="{6D93970D-A3AA-408F-8BC4-1591D44E3A7C}" uniqueName="1" name="PASYWA" queryTableFieldId="1" dataDxfId="7"/>
    <tableColumn id="2" xr3:uid="{3E250C30-6BC9-45C5-B6F5-98D20FE055EF}" uniqueName="2" name="2025" queryTableFieldId="2" dataDxfId="6"/>
    <tableColumn id="3" xr3:uid="{12125649-F9B9-4C6C-BF0A-C36F14C99FC4}" uniqueName="3" name="2024" queryTableFieldId="3" dataDxfId="5"/>
    <tableColumn id="4" xr3:uid="{5F25D90D-B179-4757-8786-117CAEE5A255}" uniqueName="4" name="2023" queryTableFieldId="4" dataDxfId="4"/>
  </tableColumns>
  <tableStyleInfo name="Styl tabeli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B890FF8-C5CE-4511-B798-9AB5792FC748}" name="RZiS" displayName="RZiS" ref="A1:D55" tableType="queryTable" totalsRowShown="0">
  <autoFilter ref="A1:D55" xr:uid="{FB890FF8-C5CE-4511-B798-9AB5792FC748}"/>
  <tableColumns count="4">
    <tableColumn id="1" xr3:uid="{A328D814-EA6E-4254-B739-4F8A47BFAC61}" uniqueName="1" name="RACHUNEK ZYSKÓW I STRAT" queryTableFieldId="1" dataDxfId="3"/>
    <tableColumn id="2" xr3:uid="{6CFF05DA-F9B5-4016-BA6C-B6ACBA0CC8D3}" uniqueName="2" name="2025" queryTableFieldId="2" dataDxfId="2"/>
    <tableColumn id="3" xr3:uid="{D3421F7C-18BE-4CD7-9C6E-6657EB8E4578}" uniqueName="3" name="2024" queryTableFieldId="3" dataDxfId="1"/>
    <tableColumn id="4" xr3:uid="{86BD340C-E8A0-4A75-8F22-B1FBA3C29E52}" uniqueName="4" name="2023" queryTableFieldId="4" dataDxfId="0"/>
  </tableColumns>
  <tableStyleInfo name="Styl tabeli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58E350-0B30-4D7F-99B8-921CE22C5F42}" name="RPP" displayName="RPP" ref="A1:D72" tableType="queryTable" totalsRowShown="0">
  <tableColumns count="4">
    <tableColumn id="1" xr3:uid="{DE820713-7E16-4E81-A4B7-84E3F1954723}" uniqueName="1" name="RACHUNEK PRZEPŁYWÓW PIENIĘŻNYCH" queryTableFieldId="1" dataDxfId="15"/>
    <tableColumn id="2" xr3:uid="{89BA064B-8F1F-48E8-ADA4-16F1A28D1B18}" uniqueName="2" name="2025" queryTableFieldId="2" dataDxfId="14"/>
    <tableColumn id="3" xr3:uid="{9381B544-022A-4DE9-AC36-3183FB4204E7}" uniqueName="3" name="2024" queryTableFieldId="3" dataDxfId="13"/>
    <tableColumn id="4" xr3:uid="{4A7270B6-7C25-4D2C-9464-45BFAA663A6D}" uniqueName="4" name="2023" queryTableFieldId="4" dataDxfId="12"/>
  </tableColumns>
  <tableStyleInfo name="Styl tabeli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40BD-D720-4AAE-849E-1AA664BC2205}">
  <dimension ref="A1:H95"/>
  <sheetViews>
    <sheetView workbookViewId="0">
      <selection activeCell="G15" sqref="G15"/>
    </sheetView>
  </sheetViews>
  <sheetFormatPr defaultRowHeight="14.4" x14ac:dyDescent="0.3"/>
  <cols>
    <col min="1" max="1" width="80.88671875" bestFit="1" customWidth="1"/>
    <col min="2" max="2" width="15.5546875" style="7" bestFit="1" customWidth="1"/>
    <col min="3" max="4" width="18" style="7" bestFit="1" customWidth="1"/>
    <col min="5" max="5" width="11.44140625" bestFit="1" customWidth="1"/>
  </cols>
  <sheetData>
    <row r="1" spans="1:5" x14ac:dyDescent="0.3">
      <c r="A1" t="s">
        <v>260</v>
      </c>
      <c r="B1" s="7" t="s">
        <v>257</v>
      </c>
      <c r="C1" s="7" t="s">
        <v>258</v>
      </c>
      <c r="D1" s="7" t="s">
        <v>259</v>
      </c>
      <c r="E1">
        <v>2022</v>
      </c>
    </row>
    <row r="3" spans="1:5" x14ac:dyDescent="0.3">
      <c r="A3" t="s">
        <v>0</v>
      </c>
      <c r="B3" s="7" t="s">
        <v>1</v>
      </c>
      <c r="C3" s="7" t="s">
        <v>1</v>
      </c>
      <c r="D3" s="7" t="s">
        <v>1</v>
      </c>
    </row>
    <row r="4" spans="1:5" x14ac:dyDescent="0.3">
      <c r="B4" s="7" t="s">
        <v>2</v>
      </c>
      <c r="C4" s="7" t="s">
        <v>3</v>
      </c>
      <c r="D4" s="7" t="s">
        <v>3</v>
      </c>
    </row>
    <row r="5" spans="1:5" x14ac:dyDescent="0.3">
      <c r="B5" s="7" t="s">
        <v>4</v>
      </c>
      <c r="C5" s="7" t="s">
        <v>4</v>
      </c>
      <c r="D5" s="7" t="s">
        <v>4</v>
      </c>
    </row>
    <row r="6" spans="1:5" s="1" customFormat="1" x14ac:dyDescent="0.3">
      <c r="A6" s="1" t="s">
        <v>5</v>
      </c>
      <c r="B6" s="15">
        <v>367371.15</v>
      </c>
      <c r="C6" s="15">
        <v>459231.6</v>
      </c>
      <c r="D6" s="15">
        <v>183039.93</v>
      </c>
      <c r="E6" s="4"/>
    </row>
    <row r="7" spans="1:5" s="1" customFormat="1" x14ac:dyDescent="0.3">
      <c r="A7" s="1" t="s">
        <v>6</v>
      </c>
      <c r="B7" s="15">
        <v>72520.350000000006</v>
      </c>
      <c r="C7" s="15">
        <v>169214.19</v>
      </c>
      <c r="D7" s="15">
        <v>0</v>
      </c>
      <c r="E7" s="4"/>
    </row>
    <row r="8" spans="1:5" x14ac:dyDescent="0.3">
      <c r="A8" t="s">
        <v>7</v>
      </c>
      <c r="B8" s="16">
        <v>0</v>
      </c>
      <c r="C8" s="16">
        <v>0</v>
      </c>
      <c r="D8" s="16">
        <v>0</v>
      </c>
      <c r="E8" s="5"/>
    </row>
    <row r="9" spans="1:5" x14ac:dyDescent="0.3">
      <c r="A9" t="s">
        <v>8</v>
      </c>
      <c r="B9" s="16">
        <v>0</v>
      </c>
      <c r="C9" s="16">
        <v>0</v>
      </c>
      <c r="D9" s="16">
        <v>0</v>
      </c>
      <c r="E9" s="5"/>
    </row>
    <row r="10" spans="1:5" x14ac:dyDescent="0.3">
      <c r="A10" t="s">
        <v>9</v>
      </c>
      <c r="B10" s="16">
        <v>72520.350000000006</v>
      </c>
      <c r="C10" s="16">
        <v>169214.19</v>
      </c>
      <c r="D10" s="16">
        <v>0</v>
      </c>
      <c r="E10" s="5"/>
    </row>
    <row r="11" spans="1:5" x14ac:dyDescent="0.3">
      <c r="A11" t="s">
        <v>10</v>
      </c>
      <c r="B11" s="16">
        <v>0</v>
      </c>
      <c r="C11" s="16">
        <v>0</v>
      </c>
      <c r="D11" s="16">
        <v>0</v>
      </c>
      <c r="E11" s="5"/>
    </row>
    <row r="12" spans="1:5" s="1" customFormat="1" x14ac:dyDescent="0.3">
      <c r="A12" s="1" t="s">
        <v>11</v>
      </c>
      <c r="B12" s="15">
        <v>221033.32</v>
      </c>
      <c r="C12" s="15">
        <v>248609.71</v>
      </c>
      <c r="D12" s="15">
        <v>183039.93</v>
      </c>
      <c r="E12" s="4"/>
    </row>
    <row r="13" spans="1:5" x14ac:dyDescent="0.3">
      <c r="A13" t="s">
        <v>12</v>
      </c>
      <c r="B13" s="16">
        <v>221033.32</v>
      </c>
      <c r="C13" s="16">
        <v>236379.64</v>
      </c>
      <c r="D13" s="16">
        <v>183039.93</v>
      </c>
      <c r="E13" s="5"/>
    </row>
    <row r="14" spans="1:5" x14ac:dyDescent="0.3">
      <c r="A14" t="s">
        <v>13</v>
      </c>
      <c r="B14" s="16">
        <v>0</v>
      </c>
      <c r="C14" s="16">
        <v>0</v>
      </c>
      <c r="D14" s="16">
        <v>0</v>
      </c>
      <c r="E14" s="5"/>
    </row>
    <row r="15" spans="1:5" x14ac:dyDescent="0.3">
      <c r="A15" t="s">
        <v>14</v>
      </c>
      <c r="B15" s="16">
        <v>95828.4</v>
      </c>
      <c r="C15" s="16">
        <v>106885.56</v>
      </c>
      <c r="D15" s="16">
        <v>0</v>
      </c>
      <c r="E15" s="5"/>
    </row>
    <row r="16" spans="1:5" x14ac:dyDescent="0.3">
      <c r="A16" t="s">
        <v>15</v>
      </c>
      <c r="B16" s="16">
        <v>0</v>
      </c>
      <c r="C16" s="16">
        <v>0</v>
      </c>
      <c r="D16" s="16">
        <v>0</v>
      </c>
      <c r="E16" s="5"/>
    </row>
    <row r="17" spans="1:5" x14ac:dyDescent="0.3">
      <c r="A17" t="s">
        <v>16</v>
      </c>
      <c r="B17" s="16">
        <v>23084.43</v>
      </c>
      <c r="C17" s="16">
        <v>27802.47</v>
      </c>
      <c r="D17" s="16">
        <v>51653.83</v>
      </c>
      <c r="E17" s="5"/>
    </row>
    <row r="18" spans="1:5" x14ac:dyDescent="0.3">
      <c r="A18" t="s">
        <v>17</v>
      </c>
      <c r="B18" s="16">
        <v>0</v>
      </c>
      <c r="C18" s="16">
        <v>13357.73</v>
      </c>
      <c r="D18" s="16">
        <v>40073.1</v>
      </c>
      <c r="E18" s="5"/>
    </row>
    <row r="19" spans="1:5" x14ac:dyDescent="0.3">
      <c r="A19" t="s">
        <v>18</v>
      </c>
      <c r="B19" s="16">
        <v>102120.49</v>
      </c>
      <c r="C19" s="16">
        <v>88333.88</v>
      </c>
      <c r="D19" s="16">
        <v>91313</v>
      </c>
      <c r="E19" s="5"/>
    </row>
    <row r="20" spans="1:5" x14ac:dyDescent="0.3">
      <c r="A20" t="s">
        <v>19</v>
      </c>
      <c r="B20" s="16">
        <v>0</v>
      </c>
      <c r="C20" s="16">
        <v>12230.07</v>
      </c>
      <c r="D20" s="16">
        <v>0</v>
      </c>
      <c r="E20" s="5"/>
    </row>
    <row r="21" spans="1:5" x14ac:dyDescent="0.3">
      <c r="A21" t="s">
        <v>20</v>
      </c>
      <c r="B21" s="16">
        <v>0</v>
      </c>
      <c r="C21" s="16">
        <v>0</v>
      </c>
      <c r="D21" s="16">
        <v>0</v>
      </c>
      <c r="E21" s="5"/>
    </row>
    <row r="22" spans="1:5" s="1" customFormat="1" x14ac:dyDescent="0.3">
      <c r="A22" s="1" t="s">
        <v>21</v>
      </c>
      <c r="B22" s="15">
        <v>0</v>
      </c>
      <c r="C22" s="15">
        <v>0</v>
      </c>
      <c r="D22" s="15">
        <v>0</v>
      </c>
      <c r="E22" s="4"/>
    </row>
    <row r="23" spans="1:5" x14ac:dyDescent="0.3">
      <c r="A23" t="s">
        <v>22</v>
      </c>
      <c r="B23" s="16">
        <v>0</v>
      </c>
      <c r="C23" s="16">
        <v>0</v>
      </c>
      <c r="D23" s="16">
        <v>0</v>
      </c>
      <c r="E23" s="5"/>
    </row>
    <row r="24" spans="1:5" x14ac:dyDescent="0.3">
      <c r="A24" t="s">
        <v>23</v>
      </c>
      <c r="B24" s="16">
        <v>0</v>
      </c>
      <c r="C24" s="16">
        <v>0</v>
      </c>
      <c r="D24" s="16">
        <v>0</v>
      </c>
      <c r="E24" s="5"/>
    </row>
    <row r="25" spans="1:5" x14ac:dyDescent="0.3">
      <c r="A25" t="s">
        <v>24</v>
      </c>
      <c r="B25" s="16">
        <v>0</v>
      </c>
      <c r="C25" s="16">
        <v>0</v>
      </c>
      <c r="D25" s="16">
        <v>0</v>
      </c>
      <c r="E25" s="5"/>
    </row>
    <row r="26" spans="1:5" s="1" customFormat="1" x14ac:dyDescent="0.3">
      <c r="A26" s="1" t="s">
        <v>25</v>
      </c>
      <c r="B26" s="15">
        <v>0</v>
      </c>
      <c r="C26" s="15">
        <v>0</v>
      </c>
      <c r="D26" s="15">
        <v>0</v>
      </c>
      <c r="E26" s="4"/>
    </row>
    <row r="27" spans="1:5" x14ac:dyDescent="0.3">
      <c r="A27" t="s">
        <v>26</v>
      </c>
      <c r="B27" s="16">
        <v>0</v>
      </c>
      <c r="C27" s="16">
        <v>0</v>
      </c>
      <c r="D27" s="16">
        <v>0</v>
      </c>
      <c r="E27" s="5"/>
    </row>
    <row r="28" spans="1:5" x14ac:dyDescent="0.3">
      <c r="A28" t="s">
        <v>27</v>
      </c>
      <c r="B28" s="16">
        <v>0</v>
      </c>
      <c r="C28" s="16">
        <v>0</v>
      </c>
      <c r="D28" s="16">
        <v>0</v>
      </c>
      <c r="E28" s="5"/>
    </row>
    <row r="29" spans="1:5" x14ac:dyDescent="0.3">
      <c r="A29" t="s">
        <v>28</v>
      </c>
      <c r="B29" s="16">
        <v>0</v>
      </c>
      <c r="C29" s="16">
        <v>0</v>
      </c>
      <c r="D29" s="16">
        <v>0</v>
      </c>
      <c r="E29" s="5"/>
    </row>
    <row r="30" spans="1:5" x14ac:dyDescent="0.3">
      <c r="A30" t="s">
        <v>29</v>
      </c>
      <c r="B30" s="16">
        <v>0</v>
      </c>
      <c r="C30" s="16">
        <v>0</v>
      </c>
      <c r="D30" s="16">
        <v>0</v>
      </c>
      <c r="E30" s="5"/>
    </row>
    <row r="31" spans="1:5" x14ac:dyDescent="0.3">
      <c r="A31" t="s">
        <v>30</v>
      </c>
      <c r="B31" s="16">
        <v>0</v>
      </c>
      <c r="C31" s="16">
        <v>0</v>
      </c>
      <c r="D31" s="16">
        <v>0</v>
      </c>
      <c r="E31" s="5"/>
    </row>
    <row r="32" spans="1:5" x14ac:dyDescent="0.3">
      <c r="A32" t="s">
        <v>31</v>
      </c>
      <c r="B32" s="16">
        <v>0</v>
      </c>
      <c r="C32" s="16">
        <v>0</v>
      </c>
      <c r="D32" s="16">
        <v>0</v>
      </c>
      <c r="E32" s="5"/>
    </row>
    <row r="33" spans="1:5" x14ac:dyDescent="0.3">
      <c r="A33" t="s">
        <v>32</v>
      </c>
      <c r="B33" s="16">
        <v>0</v>
      </c>
      <c r="C33" s="16">
        <v>0</v>
      </c>
      <c r="D33" s="16">
        <v>0</v>
      </c>
      <c r="E33" s="5"/>
    </row>
    <row r="34" spans="1:5" x14ac:dyDescent="0.3">
      <c r="A34" t="s">
        <v>33</v>
      </c>
      <c r="B34" s="16">
        <v>0</v>
      </c>
      <c r="C34" s="16">
        <v>0</v>
      </c>
      <c r="D34" s="16">
        <v>0</v>
      </c>
      <c r="E34" s="5"/>
    </row>
    <row r="35" spans="1:5" x14ac:dyDescent="0.3">
      <c r="A35" t="s">
        <v>34</v>
      </c>
      <c r="B35" s="16">
        <v>0</v>
      </c>
      <c r="C35" s="16">
        <v>0</v>
      </c>
      <c r="D35" s="16">
        <v>0</v>
      </c>
      <c r="E35" s="5"/>
    </row>
    <row r="36" spans="1:5" x14ac:dyDescent="0.3">
      <c r="A36" t="s">
        <v>30</v>
      </c>
      <c r="B36" s="16">
        <v>0</v>
      </c>
      <c r="C36" s="16">
        <v>0</v>
      </c>
      <c r="D36" s="16">
        <v>0</v>
      </c>
      <c r="E36" s="5"/>
    </row>
    <row r="37" spans="1:5" x14ac:dyDescent="0.3">
      <c r="A37" t="s">
        <v>31</v>
      </c>
      <c r="B37" s="16">
        <v>0</v>
      </c>
      <c r="C37" s="16">
        <v>0</v>
      </c>
      <c r="D37" s="16">
        <v>0</v>
      </c>
      <c r="E37" s="5"/>
    </row>
    <row r="38" spans="1:5" x14ac:dyDescent="0.3">
      <c r="A38" t="s">
        <v>32</v>
      </c>
      <c r="B38" s="16">
        <v>0</v>
      </c>
      <c r="C38" s="16">
        <v>0</v>
      </c>
      <c r="D38" s="16">
        <v>0</v>
      </c>
      <c r="E38" s="5"/>
    </row>
    <row r="39" spans="1:5" x14ac:dyDescent="0.3">
      <c r="A39" t="s">
        <v>35</v>
      </c>
      <c r="B39" s="16">
        <v>0</v>
      </c>
      <c r="C39" s="16">
        <v>0</v>
      </c>
      <c r="D39" s="16">
        <v>0</v>
      </c>
      <c r="E39" s="5"/>
    </row>
    <row r="40" spans="1:5" x14ac:dyDescent="0.3">
      <c r="A40" t="s">
        <v>30</v>
      </c>
      <c r="B40" s="16">
        <v>0</v>
      </c>
      <c r="C40" s="16">
        <v>0</v>
      </c>
      <c r="D40" s="16">
        <v>0</v>
      </c>
      <c r="E40" s="5"/>
    </row>
    <row r="41" spans="1:5" x14ac:dyDescent="0.3">
      <c r="A41" t="s">
        <v>31</v>
      </c>
      <c r="B41" s="16">
        <v>0</v>
      </c>
      <c r="C41" s="16">
        <v>0</v>
      </c>
      <c r="D41" s="16">
        <v>0</v>
      </c>
      <c r="E41" s="5"/>
    </row>
    <row r="42" spans="1:5" x14ac:dyDescent="0.3">
      <c r="A42" t="s">
        <v>32</v>
      </c>
      <c r="B42" s="16">
        <v>0</v>
      </c>
      <c r="C42" s="16">
        <v>0</v>
      </c>
      <c r="D42" s="16">
        <v>0</v>
      </c>
      <c r="E42" s="5"/>
    </row>
    <row r="43" spans="1:5" x14ac:dyDescent="0.3">
      <c r="A43" t="s">
        <v>33</v>
      </c>
      <c r="B43" s="16">
        <v>0</v>
      </c>
      <c r="C43" s="16">
        <v>0</v>
      </c>
      <c r="D43" s="16">
        <v>0</v>
      </c>
      <c r="E43" s="5"/>
    </row>
    <row r="44" spans="1:5" x14ac:dyDescent="0.3">
      <c r="A44" t="s">
        <v>36</v>
      </c>
      <c r="B44" s="16">
        <v>0</v>
      </c>
      <c r="C44" s="16">
        <v>0</v>
      </c>
      <c r="D44" s="16">
        <v>0</v>
      </c>
      <c r="E44" s="5"/>
    </row>
    <row r="45" spans="1:5" s="1" customFormat="1" x14ac:dyDescent="0.3">
      <c r="A45" s="1" t="s">
        <v>37</v>
      </c>
      <c r="B45" s="15">
        <v>73817.48</v>
      </c>
      <c r="C45" s="15">
        <v>41407.699999999997</v>
      </c>
      <c r="D45" s="15">
        <v>0</v>
      </c>
      <c r="E45" s="4"/>
    </row>
    <row r="46" spans="1:5" x14ac:dyDescent="0.3">
      <c r="A46" t="s">
        <v>38</v>
      </c>
      <c r="B46" s="16">
        <v>11733</v>
      </c>
      <c r="C46" s="16">
        <v>9246</v>
      </c>
      <c r="D46" s="16">
        <v>0</v>
      </c>
      <c r="E46" s="5"/>
    </row>
    <row r="47" spans="1:5" x14ac:dyDescent="0.3">
      <c r="A47" t="s">
        <v>39</v>
      </c>
      <c r="B47" s="16">
        <v>62084.480000000003</v>
      </c>
      <c r="C47" s="16">
        <v>32161.7</v>
      </c>
      <c r="D47" s="16">
        <v>0</v>
      </c>
      <c r="E47" s="5"/>
    </row>
    <row r="48" spans="1:5" s="1" customFormat="1" x14ac:dyDescent="0.3">
      <c r="A48" s="1" t="s">
        <v>40</v>
      </c>
      <c r="B48" s="15">
        <v>10068337.32</v>
      </c>
      <c r="C48" s="15">
        <v>8177289.1100000003</v>
      </c>
      <c r="D48" s="15">
        <v>7472065.4000000004</v>
      </c>
      <c r="E48" s="4"/>
    </row>
    <row r="49" spans="1:5" s="1" customFormat="1" x14ac:dyDescent="0.3">
      <c r="A49" s="1" t="s">
        <v>41</v>
      </c>
      <c r="B49" s="15">
        <v>4681502.6500000004</v>
      </c>
      <c r="C49" s="15">
        <v>4410497.6399999997</v>
      </c>
      <c r="D49" s="15">
        <v>2207709.5299999998</v>
      </c>
      <c r="E49" s="3">
        <v>2853213.12</v>
      </c>
    </row>
    <row r="50" spans="1:5" x14ac:dyDescent="0.3">
      <c r="A50" t="s">
        <v>42</v>
      </c>
      <c r="B50" s="16">
        <v>0</v>
      </c>
      <c r="C50" s="16">
        <v>0</v>
      </c>
      <c r="D50" s="16">
        <v>0</v>
      </c>
      <c r="E50" s="5"/>
    </row>
    <row r="51" spans="1:5" x14ac:dyDescent="0.3">
      <c r="A51" t="s">
        <v>43</v>
      </c>
      <c r="B51" s="16">
        <v>0</v>
      </c>
      <c r="C51" s="16">
        <v>0</v>
      </c>
      <c r="D51" s="16">
        <v>0</v>
      </c>
      <c r="E51" s="5"/>
    </row>
    <row r="52" spans="1:5" x14ac:dyDescent="0.3">
      <c r="A52" t="s">
        <v>44</v>
      </c>
      <c r="B52" s="16">
        <v>0</v>
      </c>
      <c r="C52" s="16">
        <v>0</v>
      </c>
      <c r="D52" s="16">
        <v>0</v>
      </c>
      <c r="E52" s="5"/>
    </row>
    <row r="53" spans="1:5" x14ac:dyDescent="0.3">
      <c r="A53" t="s">
        <v>45</v>
      </c>
      <c r="B53" s="16">
        <v>4346095.2699999996</v>
      </c>
      <c r="C53" s="16">
        <v>4275390.5</v>
      </c>
      <c r="D53" s="16">
        <v>2199849.5299999998</v>
      </c>
      <c r="E53" s="5"/>
    </row>
    <row r="54" spans="1:5" x14ac:dyDescent="0.3">
      <c r="A54" t="s">
        <v>46</v>
      </c>
      <c r="B54" s="16">
        <v>335407.38</v>
      </c>
      <c r="C54" s="16">
        <v>135107.14000000001</v>
      </c>
      <c r="D54" s="16">
        <v>7860</v>
      </c>
      <c r="E54" s="5"/>
    </row>
    <row r="55" spans="1:5" s="1" customFormat="1" x14ac:dyDescent="0.3">
      <c r="A55" s="1" t="s">
        <v>47</v>
      </c>
      <c r="B55" s="15">
        <v>3281260.24</v>
      </c>
      <c r="C55" s="15">
        <v>2271501.5499999998</v>
      </c>
      <c r="D55" s="15">
        <v>1925769.01</v>
      </c>
      <c r="E55" s="4"/>
    </row>
    <row r="56" spans="1:5" x14ac:dyDescent="0.3">
      <c r="A56" t="s">
        <v>48</v>
      </c>
      <c r="B56" s="16">
        <v>0</v>
      </c>
      <c r="C56" s="16">
        <v>0</v>
      </c>
      <c r="D56" s="16">
        <v>0</v>
      </c>
      <c r="E56" s="5"/>
    </row>
    <row r="57" spans="1:5" x14ac:dyDescent="0.3">
      <c r="A57" t="s">
        <v>49</v>
      </c>
      <c r="B57" s="16">
        <v>0</v>
      </c>
      <c r="C57" s="16">
        <v>0</v>
      </c>
      <c r="D57" s="16">
        <v>0</v>
      </c>
      <c r="E57" s="5"/>
    </row>
    <row r="58" spans="1:5" x14ac:dyDescent="0.3">
      <c r="A58" t="s">
        <v>50</v>
      </c>
      <c r="B58" s="16">
        <v>0</v>
      </c>
      <c r="C58" s="16">
        <v>0</v>
      </c>
      <c r="D58" s="16">
        <v>0</v>
      </c>
      <c r="E58" s="5"/>
    </row>
    <row r="59" spans="1:5" x14ac:dyDescent="0.3">
      <c r="A59" t="s">
        <v>51</v>
      </c>
      <c r="B59" s="16">
        <v>0</v>
      </c>
      <c r="C59" s="16">
        <v>0</v>
      </c>
      <c r="D59" s="16">
        <v>0</v>
      </c>
      <c r="E59" s="5"/>
    </row>
    <row r="60" spans="1:5" x14ac:dyDescent="0.3">
      <c r="A60" t="s">
        <v>52</v>
      </c>
      <c r="B60" s="16">
        <v>0</v>
      </c>
      <c r="C60" s="16">
        <v>0</v>
      </c>
      <c r="D60" s="16">
        <v>0</v>
      </c>
      <c r="E60" s="5"/>
    </row>
    <row r="61" spans="1:5" x14ac:dyDescent="0.3">
      <c r="A61" t="s">
        <v>53</v>
      </c>
      <c r="B61" s="16">
        <v>0</v>
      </c>
      <c r="C61" s="16">
        <v>0</v>
      </c>
      <c r="D61" s="16">
        <v>0</v>
      </c>
      <c r="E61" s="5"/>
    </row>
    <row r="62" spans="1:5" x14ac:dyDescent="0.3">
      <c r="A62" t="s">
        <v>49</v>
      </c>
      <c r="B62" s="16">
        <v>0</v>
      </c>
      <c r="C62" s="16">
        <v>0</v>
      </c>
      <c r="D62" s="16">
        <v>0</v>
      </c>
      <c r="E62" s="5"/>
    </row>
    <row r="63" spans="1:5" x14ac:dyDescent="0.3">
      <c r="A63" t="s">
        <v>50</v>
      </c>
      <c r="B63" s="16">
        <v>0</v>
      </c>
      <c r="C63" s="16">
        <v>0</v>
      </c>
      <c r="D63" s="16">
        <v>0</v>
      </c>
      <c r="E63" s="5"/>
    </row>
    <row r="64" spans="1:5" x14ac:dyDescent="0.3">
      <c r="A64" t="s">
        <v>51</v>
      </c>
      <c r="B64" s="16">
        <v>0</v>
      </c>
      <c r="C64" s="16">
        <v>0</v>
      </c>
      <c r="D64" s="16">
        <v>0</v>
      </c>
      <c r="E64" s="5"/>
    </row>
    <row r="65" spans="1:5" x14ac:dyDescent="0.3">
      <c r="A65" t="s">
        <v>52</v>
      </c>
      <c r="B65" s="16">
        <v>0</v>
      </c>
      <c r="C65" s="16">
        <v>0</v>
      </c>
      <c r="D65" s="16">
        <v>0</v>
      </c>
      <c r="E65" s="5"/>
    </row>
    <row r="66" spans="1:5" x14ac:dyDescent="0.3">
      <c r="A66" t="s">
        <v>54</v>
      </c>
      <c r="B66" s="16">
        <v>3281260.24</v>
      </c>
      <c r="C66" s="16">
        <v>2271501.5499999998</v>
      </c>
      <c r="D66" s="16">
        <v>1925769.01</v>
      </c>
      <c r="E66" s="5"/>
    </row>
    <row r="67" spans="1:5" x14ac:dyDescent="0.3">
      <c r="A67" t="s">
        <v>49</v>
      </c>
      <c r="B67" s="16">
        <v>3071659.73</v>
      </c>
      <c r="C67" s="16">
        <v>2089774</v>
      </c>
      <c r="D67" s="16">
        <v>1809678.13</v>
      </c>
      <c r="E67" s="2">
        <v>246310.64</v>
      </c>
    </row>
    <row r="68" spans="1:5" x14ac:dyDescent="0.3">
      <c r="A68" t="s">
        <v>50</v>
      </c>
      <c r="B68" s="16">
        <v>3071659.73</v>
      </c>
      <c r="C68" s="16">
        <v>2089774</v>
      </c>
      <c r="D68" s="16">
        <v>1809678.13</v>
      </c>
      <c r="E68" s="5"/>
    </row>
    <row r="69" spans="1:5" x14ac:dyDescent="0.3">
      <c r="A69" t="s">
        <v>51</v>
      </c>
      <c r="B69" s="16">
        <v>0</v>
      </c>
      <c r="C69" s="16">
        <v>0</v>
      </c>
      <c r="D69" s="16">
        <v>0</v>
      </c>
      <c r="E69" s="5"/>
    </row>
    <row r="70" spans="1:5" x14ac:dyDescent="0.3">
      <c r="A70" t="s">
        <v>55</v>
      </c>
      <c r="B70" s="16">
        <v>59862.91</v>
      </c>
      <c r="C70" s="16">
        <v>70099.289999999994</v>
      </c>
      <c r="D70" s="16">
        <v>6266.91</v>
      </c>
      <c r="E70" s="5"/>
    </row>
    <row r="71" spans="1:5" x14ac:dyDescent="0.3">
      <c r="A71" t="s">
        <v>56</v>
      </c>
      <c r="B71" s="16">
        <v>0</v>
      </c>
      <c r="C71" s="16">
        <v>0</v>
      </c>
      <c r="D71" s="16">
        <v>0</v>
      </c>
      <c r="E71" s="5"/>
    </row>
    <row r="72" spans="1:5" x14ac:dyDescent="0.3">
      <c r="A72" t="s">
        <v>57</v>
      </c>
      <c r="B72" s="16">
        <v>0</v>
      </c>
      <c r="C72" s="16">
        <v>0</v>
      </c>
      <c r="D72" s="16">
        <v>0</v>
      </c>
      <c r="E72" s="5"/>
    </row>
    <row r="73" spans="1:5" x14ac:dyDescent="0.3">
      <c r="A73" t="s">
        <v>58</v>
      </c>
      <c r="B73" s="16">
        <v>149737.60000000001</v>
      </c>
      <c r="C73" s="16">
        <v>111628.26</v>
      </c>
      <c r="D73" s="16">
        <v>109823.97</v>
      </c>
      <c r="E73" s="5"/>
    </row>
    <row r="74" spans="1:5" x14ac:dyDescent="0.3">
      <c r="A74" t="s">
        <v>59</v>
      </c>
      <c r="B74" s="16">
        <v>0</v>
      </c>
      <c r="C74" s="16">
        <v>0</v>
      </c>
      <c r="D74" s="16">
        <v>0</v>
      </c>
      <c r="E74" s="5"/>
    </row>
    <row r="75" spans="1:5" s="1" customFormat="1" x14ac:dyDescent="0.3">
      <c r="A75" s="1" t="s">
        <v>60</v>
      </c>
      <c r="B75" s="15">
        <v>2048805.82</v>
      </c>
      <c r="C75" s="15">
        <v>1402530.89</v>
      </c>
      <c r="D75" s="15">
        <v>3283346.13</v>
      </c>
      <c r="E75" s="4"/>
    </row>
    <row r="76" spans="1:5" x14ac:dyDescent="0.3">
      <c r="A76" t="s">
        <v>61</v>
      </c>
      <c r="B76" s="16">
        <v>2048805.82</v>
      </c>
      <c r="C76" s="16">
        <v>1402530.89</v>
      </c>
      <c r="D76" s="16">
        <v>3283346.13</v>
      </c>
      <c r="E76" s="5"/>
    </row>
    <row r="77" spans="1:5" x14ac:dyDescent="0.3">
      <c r="A77" t="s">
        <v>62</v>
      </c>
      <c r="B77" s="16">
        <v>0</v>
      </c>
      <c r="C77" s="16">
        <v>0</v>
      </c>
      <c r="D77" s="16">
        <v>0</v>
      </c>
      <c r="E77" s="5"/>
    </row>
    <row r="78" spans="1:5" x14ac:dyDescent="0.3">
      <c r="A78" t="s">
        <v>30</v>
      </c>
      <c r="B78" s="16">
        <v>0</v>
      </c>
      <c r="C78" s="16">
        <v>0</v>
      </c>
      <c r="D78" s="16">
        <v>0</v>
      </c>
      <c r="E78" s="5"/>
    </row>
    <row r="79" spans="1:5" x14ac:dyDescent="0.3">
      <c r="A79" t="s">
        <v>31</v>
      </c>
      <c r="B79" s="16">
        <v>0</v>
      </c>
      <c r="C79" s="16">
        <v>0</v>
      </c>
      <c r="D79" s="16">
        <v>0</v>
      </c>
      <c r="E79" s="5"/>
    </row>
    <row r="80" spans="1:5" x14ac:dyDescent="0.3">
      <c r="A80" t="s">
        <v>32</v>
      </c>
      <c r="B80" s="16">
        <v>0</v>
      </c>
      <c r="C80" s="16">
        <v>0</v>
      </c>
      <c r="D80" s="16">
        <v>0</v>
      </c>
      <c r="E80" s="5"/>
    </row>
    <row r="81" spans="1:8" x14ac:dyDescent="0.3">
      <c r="A81" t="s">
        <v>63</v>
      </c>
      <c r="B81" s="16">
        <v>0</v>
      </c>
      <c r="C81" s="16">
        <v>0</v>
      </c>
      <c r="D81" s="16">
        <v>0</v>
      </c>
      <c r="E81" s="5"/>
    </row>
    <row r="82" spans="1:8" x14ac:dyDescent="0.3">
      <c r="A82" t="s">
        <v>64</v>
      </c>
      <c r="B82" s="16">
        <v>0</v>
      </c>
      <c r="C82" s="16">
        <v>0</v>
      </c>
      <c r="D82" s="16">
        <v>0</v>
      </c>
      <c r="E82" s="5"/>
    </row>
    <row r="83" spans="1:8" x14ac:dyDescent="0.3">
      <c r="A83" t="s">
        <v>30</v>
      </c>
      <c r="B83" s="16">
        <v>0</v>
      </c>
      <c r="C83" s="16">
        <v>0</v>
      </c>
      <c r="D83" s="16">
        <v>0</v>
      </c>
      <c r="E83" s="5"/>
    </row>
    <row r="84" spans="1:8" x14ac:dyDescent="0.3">
      <c r="A84" t="s">
        <v>31</v>
      </c>
      <c r="B84" s="16">
        <v>0</v>
      </c>
      <c r="C84" s="16">
        <v>0</v>
      </c>
      <c r="D84" s="16">
        <v>0</v>
      </c>
      <c r="E84" s="5"/>
      <c r="H84" s="3"/>
    </row>
    <row r="85" spans="1:8" x14ac:dyDescent="0.3">
      <c r="A85" t="s">
        <v>32</v>
      </c>
      <c r="B85" s="16">
        <v>0</v>
      </c>
      <c r="C85" s="16">
        <v>0</v>
      </c>
      <c r="D85" s="16">
        <v>0</v>
      </c>
      <c r="E85" s="5"/>
    </row>
    <row r="86" spans="1:8" x14ac:dyDescent="0.3">
      <c r="A86" t="s">
        <v>63</v>
      </c>
      <c r="B86" s="16">
        <v>0</v>
      </c>
      <c r="C86" s="16">
        <v>0</v>
      </c>
      <c r="D86" s="16">
        <v>0</v>
      </c>
      <c r="E86" s="5"/>
    </row>
    <row r="87" spans="1:8" x14ac:dyDescent="0.3">
      <c r="A87" t="s">
        <v>65</v>
      </c>
      <c r="B87" s="16">
        <v>2048805.82</v>
      </c>
      <c r="C87" s="16">
        <v>1402530.89</v>
      </c>
      <c r="D87" s="16">
        <v>3283346.13</v>
      </c>
      <c r="E87" s="5"/>
    </row>
    <row r="88" spans="1:8" x14ac:dyDescent="0.3">
      <c r="A88" t="s">
        <v>66</v>
      </c>
      <c r="B88" s="16">
        <v>2048805.82</v>
      </c>
      <c r="C88" s="16">
        <v>1402530.89</v>
      </c>
      <c r="D88" s="16">
        <v>3283346.13</v>
      </c>
      <c r="E88" s="5"/>
    </row>
    <row r="89" spans="1:8" x14ac:dyDescent="0.3">
      <c r="A89" t="s">
        <v>67</v>
      </c>
      <c r="B89" s="16">
        <v>0</v>
      </c>
      <c r="C89" s="16">
        <v>0</v>
      </c>
      <c r="D89" s="16">
        <v>0</v>
      </c>
      <c r="E89" s="5"/>
    </row>
    <row r="90" spans="1:8" x14ac:dyDescent="0.3">
      <c r="A90" t="s">
        <v>68</v>
      </c>
      <c r="B90" s="16">
        <v>0</v>
      </c>
      <c r="C90" s="16">
        <v>0</v>
      </c>
      <c r="D90" s="16">
        <v>0</v>
      </c>
      <c r="E90" s="5"/>
    </row>
    <row r="91" spans="1:8" x14ac:dyDescent="0.3">
      <c r="A91" t="s">
        <v>69</v>
      </c>
      <c r="B91" s="16">
        <v>0</v>
      </c>
      <c r="C91" s="16">
        <v>0</v>
      </c>
      <c r="D91" s="16">
        <v>0</v>
      </c>
      <c r="E91" s="5"/>
    </row>
    <row r="92" spans="1:8" s="1" customFormat="1" x14ac:dyDescent="0.3">
      <c r="A92" s="1" t="s">
        <v>70</v>
      </c>
      <c r="B92" s="15">
        <v>56768.61</v>
      </c>
      <c r="C92" s="15">
        <v>92759.03</v>
      </c>
      <c r="D92" s="15">
        <v>55240.73</v>
      </c>
      <c r="E92" s="4"/>
    </row>
    <row r="93" spans="1:8" s="1" customFormat="1" x14ac:dyDescent="0.3">
      <c r="A93" s="1" t="s">
        <v>71</v>
      </c>
      <c r="B93" s="15">
        <v>0</v>
      </c>
      <c r="C93" s="15">
        <v>0</v>
      </c>
      <c r="D93" s="15">
        <v>0</v>
      </c>
      <c r="E93" s="4"/>
    </row>
    <row r="94" spans="1:8" s="1" customFormat="1" x14ac:dyDescent="0.3">
      <c r="A94" s="1" t="s">
        <v>72</v>
      </c>
      <c r="B94" s="15">
        <v>204822.2</v>
      </c>
      <c r="C94" s="15">
        <v>0</v>
      </c>
      <c r="D94" s="15">
        <v>0</v>
      </c>
      <c r="E94" s="4"/>
    </row>
    <row r="95" spans="1:8" s="1" customFormat="1" x14ac:dyDescent="0.3">
      <c r="A95" s="1" t="s">
        <v>73</v>
      </c>
      <c r="B95" s="15">
        <v>10640530.67</v>
      </c>
      <c r="C95" s="15">
        <v>8636520.7100000009</v>
      </c>
      <c r="D95" s="15">
        <v>7655105.3300000001</v>
      </c>
      <c r="E95" s="3">
        <v>4994407.66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D2CDC-0C76-4C93-93FD-EBC92B0CDC24}">
  <dimension ref="A1:E68"/>
  <sheetViews>
    <sheetView topLeftCell="A52" workbookViewId="0">
      <selection activeCell="G3" sqref="G3"/>
    </sheetView>
  </sheetViews>
  <sheetFormatPr defaultRowHeight="14.4" x14ac:dyDescent="0.3"/>
  <cols>
    <col min="1" max="1" width="78.33203125" bestFit="1" customWidth="1"/>
    <col min="2" max="2" width="15.5546875" style="7" bestFit="1" customWidth="1"/>
    <col min="3" max="4" width="18" style="7" bestFit="1" customWidth="1"/>
    <col min="5" max="5" width="15.88671875" customWidth="1"/>
  </cols>
  <sheetData>
    <row r="1" spans="1:5" x14ac:dyDescent="0.3">
      <c r="A1" t="s">
        <v>261</v>
      </c>
      <c r="B1" s="7" t="s">
        <v>257</v>
      </c>
      <c r="C1" s="7" t="s">
        <v>258</v>
      </c>
      <c r="D1" s="7" t="s">
        <v>259</v>
      </c>
      <c r="E1">
        <v>2022</v>
      </c>
    </row>
    <row r="3" spans="1:5" x14ac:dyDescent="0.3">
      <c r="A3" t="s">
        <v>74</v>
      </c>
      <c r="B3" s="7" t="s">
        <v>1</v>
      </c>
      <c r="C3" s="7" t="s">
        <v>1</v>
      </c>
      <c r="D3" s="7" t="s">
        <v>1</v>
      </c>
    </row>
    <row r="4" spans="1:5" x14ac:dyDescent="0.3">
      <c r="B4" s="7" t="s">
        <v>2</v>
      </c>
      <c r="C4" s="7" t="s">
        <v>3</v>
      </c>
      <c r="D4" s="7" t="s">
        <v>3</v>
      </c>
    </row>
    <row r="5" spans="1:5" x14ac:dyDescent="0.3">
      <c r="B5" s="7" t="s">
        <v>4</v>
      </c>
      <c r="C5" s="7" t="s">
        <v>4</v>
      </c>
      <c r="D5" s="7" t="s">
        <v>4</v>
      </c>
    </row>
    <row r="6" spans="1:5" s="1" customFormat="1" x14ac:dyDescent="0.3">
      <c r="A6" s="1" t="s">
        <v>75</v>
      </c>
      <c r="B6" s="15">
        <v>8629975.4900000002</v>
      </c>
      <c r="C6" s="15">
        <v>6333581.2300000004</v>
      </c>
      <c r="D6" s="15">
        <v>5771091.6900000004</v>
      </c>
      <c r="E6" s="4">
        <v>3756935.87</v>
      </c>
    </row>
    <row r="7" spans="1:5" s="1" customFormat="1" x14ac:dyDescent="0.3">
      <c r="A7" s="1" t="s">
        <v>76</v>
      </c>
      <c r="B7" s="15">
        <v>148478.6</v>
      </c>
      <c r="C7" s="15">
        <v>148478.6</v>
      </c>
      <c r="D7" s="15">
        <v>140372.70000000001</v>
      </c>
      <c r="E7" s="4"/>
    </row>
    <row r="8" spans="1:5" s="1" customFormat="1" x14ac:dyDescent="0.3">
      <c r="A8" s="1" t="s">
        <v>77</v>
      </c>
      <c r="B8" s="15">
        <v>3957902.63</v>
      </c>
      <c r="C8" s="15">
        <v>5630718.9900000002</v>
      </c>
      <c r="D8" s="15">
        <v>3616563.17</v>
      </c>
      <c r="E8" s="4"/>
    </row>
    <row r="9" spans="1:5" x14ac:dyDescent="0.3">
      <c r="A9" t="s">
        <v>78</v>
      </c>
      <c r="B9" s="16">
        <v>2343648.7999999998</v>
      </c>
      <c r="C9" s="16">
        <v>2343648.7999999998</v>
      </c>
      <c r="D9" s="16">
        <v>2343648.7999999998</v>
      </c>
      <c r="E9" s="5"/>
    </row>
    <row r="10" spans="1:5" x14ac:dyDescent="0.3">
      <c r="A10" t="s">
        <v>79</v>
      </c>
      <c r="B10" s="16">
        <v>0</v>
      </c>
      <c r="C10" s="16">
        <v>0</v>
      </c>
      <c r="D10" s="16">
        <v>0</v>
      </c>
      <c r="E10" s="5"/>
    </row>
    <row r="11" spans="1:5" s="1" customFormat="1" x14ac:dyDescent="0.3">
      <c r="A11" s="1" t="s">
        <v>80</v>
      </c>
      <c r="B11" s="15">
        <v>0</v>
      </c>
      <c r="C11" s="15">
        <v>0</v>
      </c>
      <c r="D11" s="15">
        <v>0</v>
      </c>
      <c r="E11" s="4"/>
    </row>
    <row r="12" spans="1:5" x14ac:dyDescent="0.3">
      <c r="A12" t="s">
        <v>81</v>
      </c>
      <c r="B12" s="16">
        <v>0</v>
      </c>
      <c r="C12" s="16">
        <v>0</v>
      </c>
      <c r="D12" s="16">
        <v>0</v>
      </c>
      <c r="E12" s="5"/>
    </row>
    <row r="13" spans="1:5" s="1" customFormat="1" x14ac:dyDescent="0.3">
      <c r="A13" s="1" t="s">
        <v>82</v>
      </c>
      <c r="B13" s="15">
        <v>2227200</v>
      </c>
      <c r="C13" s="15">
        <v>0</v>
      </c>
      <c r="D13" s="15">
        <v>0</v>
      </c>
      <c r="E13" s="4"/>
    </row>
    <row r="14" spans="1:5" x14ac:dyDescent="0.3">
      <c r="A14" t="s">
        <v>83</v>
      </c>
      <c r="B14" s="16">
        <v>0</v>
      </c>
      <c r="C14" s="16">
        <v>0</v>
      </c>
      <c r="D14" s="16">
        <v>0</v>
      </c>
      <c r="E14" s="5"/>
    </row>
    <row r="15" spans="1:5" x14ac:dyDescent="0.3">
      <c r="A15" t="s">
        <v>84</v>
      </c>
      <c r="B15" s="16">
        <v>2227200</v>
      </c>
      <c r="C15" s="16">
        <v>0</v>
      </c>
      <c r="D15" s="16">
        <v>0</v>
      </c>
      <c r="E15" s="5"/>
    </row>
    <row r="16" spans="1:5" s="1" customFormat="1" x14ac:dyDescent="0.3">
      <c r="A16" s="1" t="s">
        <v>85</v>
      </c>
      <c r="B16" s="15">
        <v>0</v>
      </c>
      <c r="C16" s="15">
        <v>0</v>
      </c>
      <c r="D16" s="15">
        <v>0</v>
      </c>
      <c r="E16" s="4"/>
    </row>
    <row r="17" spans="1:5" s="1" customFormat="1" x14ac:dyDescent="0.3">
      <c r="A17" s="1" t="s">
        <v>86</v>
      </c>
      <c r="B17" s="15">
        <v>2296394.2599999998</v>
      </c>
      <c r="C17" s="15">
        <v>554383.64</v>
      </c>
      <c r="D17" s="15">
        <v>2014155.82</v>
      </c>
      <c r="E17" s="4"/>
    </row>
    <row r="18" spans="1:5" s="1" customFormat="1" x14ac:dyDescent="0.3">
      <c r="A18" s="1" t="s">
        <v>87</v>
      </c>
      <c r="B18" s="15">
        <v>0</v>
      </c>
      <c r="C18" s="15">
        <v>0</v>
      </c>
      <c r="D18" s="15">
        <v>0</v>
      </c>
      <c r="E18" s="4"/>
    </row>
    <row r="19" spans="1:5" s="1" customFormat="1" x14ac:dyDescent="0.3">
      <c r="A19" s="1" t="s">
        <v>88</v>
      </c>
      <c r="B19" s="15">
        <v>2010555.18</v>
      </c>
      <c r="C19" s="15">
        <v>2302939.48</v>
      </c>
      <c r="D19" s="15">
        <v>1884013.64</v>
      </c>
      <c r="E19" s="4"/>
    </row>
    <row r="20" spans="1:5" s="1" customFormat="1" x14ac:dyDescent="0.3">
      <c r="A20" s="1" t="s">
        <v>89</v>
      </c>
      <c r="B20" s="15">
        <v>0</v>
      </c>
      <c r="C20" s="15">
        <v>4030</v>
      </c>
      <c r="D20" s="15">
        <v>0</v>
      </c>
      <c r="E20" s="4"/>
    </row>
    <row r="21" spans="1:5" x14ac:dyDescent="0.3">
      <c r="A21" t="s">
        <v>90</v>
      </c>
      <c r="B21" s="16">
        <v>0</v>
      </c>
      <c r="C21" s="16">
        <v>4030</v>
      </c>
      <c r="D21" s="16">
        <v>0</v>
      </c>
      <c r="E21" s="5"/>
    </row>
    <row r="22" spans="1:5" x14ac:dyDescent="0.3">
      <c r="A22" t="s">
        <v>91</v>
      </c>
      <c r="B22" s="16">
        <v>0</v>
      </c>
      <c r="C22" s="16">
        <v>0</v>
      </c>
      <c r="D22" s="16">
        <v>0</v>
      </c>
      <c r="E22" s="5"/>
    </row>
    <row r="23" spans="1:5" x14ac:dyDescent="0.3">
      <c r="A23" t="s">
        <v>92</v>
      </c>
      <c r="B23" s="16">
        <v>0</v>
      </c>
      <c r="C23" s="16">
        <v>0</v>
      </c>
      <c r="D23" s="16">
        <v>0</v>
      </c>
      <c r="E23" s="5"/>
    </row>
    <row r="24" spans="1:5" x14ac:dyDescent="0.3">
      <c r="A24" t="s">
        <v>93</v>
      </c>
      <c r="B24" s="16">
        <v>0</v>
      </c>
      <c r="C24" s="16">
        <v>0</v>
      </c>
      <c r="D24" s="16">
        <v>0</v>
      </c>
      <c r="E24" s="5"/>
    </row>
    <row r="25" spans="1:5" x14ac:dyDescent="0.3">
      <c r="A25" t="s">
        <v>94</v>
      </c>
      <c r="B25" s="16">
        <v>0</v>
      </c>
      <c r="C25" s="16">
        <v>0</v>
      </c>
      <c r="D25" s="16">
        <v>0</v>
      </c>
      <c r="E25" s="5"/>
    </row>
    <row r="26" spans="1:5" x14ac:dyDescent="0.3">
      <c r="A26" t="s">
        <v>95</v>
      </c>
      <c r="B26" s="16">
        <v>0</v>
      </c>
      <c r="C26" s="16">
        <v>0</v>
      </c>
      <c r="D26" s="16">
        <v>0</v>
      </c>
      <c r="E26" s="5"/>
    </row>
    <row r="27" spans="1:5" x14ac:dyDescent="0.3">
      <c r="A27" t="s">
        <v>96</v>
      </c>
      <c r="B27" s="16">
        <v>0</v>
      </c>
      <c r="C27" s="16">
        <v>0</v>
      </c>
      <c r="D27" s="16">
        <v>0</v>
      </c>
      <c r="E27" s="5"/>
    </row>
    <row r="28" spans="1:5" s="1" customFormat="1" x14ac:dyDescent="0.3">
      <c r="A28" s="1" t="s">
        <v>97</v>
      </c>
      <c r="B28" s="15">
        <v>0</v>
      </c>
      <c r="C28" s="15">
        <v>0</v>
      </c>
      <c r="D28" s="15">
        <v>0</v>
      </c>
      <c r="E28" s="4"/>
    </row>
    <row r="29" spans="1:5" x14ac:dyDescent="0.3">
      <c r="A29" t="s">
        <v>98</v>
      </c>
      <c r="B29" s="16">
        <v>0</v>
      </c>
      <c r="C29" s="16">
        <v>0</v>
      </c>
      <c r="D29" s="16">
        <v>0</v>
      </c>
      <c r="E29" s="5"/>
    </row>
    <row r="30" spans="1:5" x14ac:dyDescent="0.3">
      <c r="A30" t="s">
        <v>99</v>
      </c>
      <c r="B30" s="16">
        <v>0</v>
      </c>
      <c r="C30" s="16">
        <v>0</v>
      </c>
      <c r="D30" s="16">
        <v>0</v>
      </c>
      <c r="E30" s="5"/>
    </row>
    <row r="31" spans="1:5" x14ac:dyDescent="0.3">
      <c r="A31" t="s">
        <v>100</v>
      </c>
      <c r="B31" s="16">
        <v>0</v>
      </c>
      <c r="C31" s="16">
        <v>0</v>
      </c>
      <c r="D31" s="16">
        <v>0</v>
      </c>
      <c r="E31" s="5"/>
    </row>
    <row r="32" spans="1:5" x14ac:dyDescent="0.3">
      <c r="A32" t="s">
        <v>101</v>
      </c>
      <c r="B32" s="16">
        <v>0</v>
      </c>
      <c r="C32" s="16">
        <v>0</v>
      </c>
      <c r="D32" s="16">
        <v>0</v>
      </c>
      <c r="E32" s="5">
        <v>0</v>
      </c>
    </row>
    <row r="33" spans="1:5" x14ac:dyDescent="0.3">
      <c r="A33" t="s">
        <v>102</v>
      </c>
      <c r="B33" s="16">
        <v>0</v>
      </c>
      <c r="C33" s="16">
        <v>0</v>
      </c>
      <c r="D33" s="16">
        <v>0</v>
      </c>
      <c r="E33" s="5"/>
    </row>
    <row r="34" spans="1:5" x14ac:dyDescent="0.3">
      <c r="A34" t="s">
        <v>103</v>
      </c>
      <c r="B34" s="16">
        <v>0</v>
      </c>
      <c r="C34" s="16">
        <v>0</v>
      </c>
      <c r="D34" s="16">
        <v>0</v>
      </c>
      <c r="E34" s="5"/>
    </row>
    <row r="35" spans="1:5" x14ac:dyDescent="0.3">
      <c r="A35" t="s">
        <v>104</v>
      </c>
      <c r="B35" s="16">
        <v>0</v>
      </c>
      <c r="C35" s="16">
        <v>0</v>
      </c>
      <c r="D35" s="16">
        <v>0</v>
      </c>
      <c r="E35" s="5"/>
    </row>
    <row r="36" spans="1:5" x14ac:dyDescent="0.3">
      <c r="A36" t="s">
        <v>105</v>
      </c>
      <c r="B36" s="16">
        <v>0</v>
      </c>
      <c r="C36" s="16">
        <v>0</v>
      </c>
      <c r="D36" s="16">
        <v>0</v>
      </c>
      <c r="E36" s="5"/>
    </row>
    <row r="37" spans="1:5" s="1" customFormat="1" x14ac:dyDescent="0.3">
      <c r="A37" s="1" t="s">
        <v>106</v>
      </c>
      <c r="B37" s="15">
        <v>2010475.18</v>
      </c>
      <c r="C37" s="15">
        <v>2252944.2799999998</v>
      </c>
      <c r="D37" s="15">
        <v>1871847.34</v>
      </c>
      <c r="E37" s="4"/>
    </row>
    <row r="38" spans="1:5" x14ac:dyDescent="0.3">
      <c r="A38" t="s">
        <v>98</v>
      </c>
      <c r="B38" s="16">
        <v>0</v>
      </c>
      <c r="C38" s="16">
        <v>0</v>
      </c>
      <c r="D38" s="16">
        <v>0</v>
      </c>
      <c r="E38" s="5"/>
    </row>
    <row r="39" spans="1:5" x14ac:dyDescent="0.3">
      <c r="A39" t="s">
        <v>107</v>
      </c>
      <c r="B39" s="16">
        <v>0</v>
      </c>
      <c r="C39" s="16">
        <v>0</v>
      </c>
      <c r="D39" s="16">
        <v>0</v>
      </c>
      <c r="E39" s="5"/>
    </row>
    <row r="40" spans="1:5" x14ac:dyDescent="0.3">
      <c r="A40" t="s">
        <v>108</v>
      </c>
      <c r="B40" s="16">
        <v>0</v>
      </c>
      <c r="C40" s="16">
        <v>0</v>
      </c>
      <c r="D40" s="16">
        <v>0</v>
      </c>
      <c r="E40" s="5"/>
    </row>
    <row r="41" spans="1:5" x14ac:dyDescent="0.3">
      <c r="A41" t="s">
        <v>50</v>
      </c>
      <c r="B41" s="16">
        <v>0</v>
      </c>
      <c r="C41" s="16">
        <v>0</v>
      </c>
      <c r="D41" s="16">
        <v>0</v>
      </c>
      <c r="E41" s="5"/>
    </row>
    <row r="42" spans="1:5" x14ac:dyDescent="0.3">
      <c r="A42" t="s">
        <v>51</v>
      </c>
      <c r="B42" s="16">
        <v>0</v>
      </c>
      <c r="C42" s="16">
        <v>0</v>
      </c>
      <c r="D42" s="16">
        <v>0</v>
      </c>
      <c r="E42" s="5"/>
    </row>
    <row r="43" spans="1:5" x14ac:dyDescent="0.3">
      <c r="A43" t="s">
        <v>52</v>
      </c>
      <c r="B43" s="16">
        <v>0</v>
      </c>
      <c r="C43" s="16">
        <v>0</v>
      </c>
      <c r="D43" s="16">
        <v>0</v>
      </c>
      <c r="E43" s="5"/>
    </row>
    <row r="44" spans="1:5" x14ac:dyDescent="0.3">
      <c r="A44" t="s">
        <v>99</v>
      </c>
      <c r="B44" s="16">
        <v>0</v>
      </c>
      <c r="C44" s="16">
        <v>0</v>
      </c>
      <c r="D44" s="16">
        <v>0</v>
      </c>
      <c r="E44" s="5"/>
    </row>
    <row r="45" spans="1:5" x14ac:dyDescent="0.3">
      <c r="A45" t="s">
        <v>109</v>
      </c>
      <c r="B45" s="16">
        <v>0</v>
      </c>
      <c r="C45" s="16">
        <v>0</v>
      </c>
      <c r="D45" s="16">
        <v>0</v>
      </c>
      <c r="E45" s="5"/>
    </row>
    <row r="46" spans="1:5" x14ac:dyDescent="0.3">
      <c r="A46" t="s">
        <v>50</v>
      </c>
      <c r="B46" s="16">
        <v>0</v>
      </c>
      <c r="C46" s="16">
        <v>0</v>
      </c>
      <c r="D46" s="16">
        <v>0</v>
      </c>
      <c r="E46" s="5"/>
    </row>
    <row r="47" spans="1:5" x14ac:dyDescent="0.3">
      <c r="A47" t="s">
        <v>51</v>
      </c>
      <c r="B47" s="16">
        <v>0</v>
      </c>
      <c r="C47" s="16">
        <v>0</v>
      </c>
      <c r="D47" s="16">
        <v>0</v>
      </c>
      <c r="E47" s="5"/>
    </row>
    <row r="48" spans="1:5" x14ac:dyDescent="0.3">
      <c r="A48" t="s">
        <v>52</v>
      </c>
      <c r="B48" s="16">
        <v>0</v>
      </c>
      <c r="C48" s="16">
        <v>0</v>
      </c>
      <c r="D48" s="16">
        <v>0</v>
      </c>
      <c r="E48" s="5"/>
    </row>
    <row r="49" spans="1:5" x14ac:dyDescent="0.3">
      <c r="A49" t="s">
        <v>100</v>
      </c>
      <c r="B49" s="16">
        <v>2010475.18</v>
      </c>
      <c r="C49" s="16">
        <v>2252944.2799999998</v>
      </c>
      <c r="D49" s="16">
        <v>1871847.34</v>
      </c>
      <c r="E49" s="5"/>
    </row>
    <row r="50" spans="1:5" x14ac:dyDescent="0.3">
      <c r="A50" t="s">
        <v>101</v>
      </c>
      <c r="B50" s="16">
        <v>0</v>
      </c>
      <c r="C50" s="16">
        <v>60145.35</v>
      </c>
      <c r="D50" s="16">
        <v>0</v>
      </c>
      <c r="E50" s="5">
        <v>350750</v>
      </c>
    </row>
    <row r="51" spans="1:5" x14ac:dyDescent="0.3">
      <c r="A51" t="s">
        <v>102</v>
      </c>
      <c r="B51" s="16">
        <v>0</v>
      </c>
      <c r="C51" s="16">
        <v>0</v>
      </c>
      <c r="D51" s="16">
        <v>0</v>
      </c>
      <c r="E51" s="5"/>
    </row>
    <row r="52" spans="1:5" x14ac:dyDescent="0.3">
      <c r="A52" t="s">
        <v>103</v>
      </c>
      <c r="B52" s="16">
        <v>0</v>
      </c>
      <c r="C52" s="16">
        <v>0</v>
      </c>
      <c r="D52" s="16">
        <v>0</v>
      </c>
      <c r="E52" s="5"/>
    </row>
    <row r="53" spans="1:5" x14ac:dyDescent="0.3">
      <c r="A53" t="s">
        <v>110</v>
      </c>
      <c r="B53" s="16">
        <v>1790707.05</v>
      </c>
      <c r="C53" s="16">
        <v>1990465.27</v>
      </c>
      <c r="D53" s="16">
        <v>1245359.53</v>
      </c>
      <c r="E53" s="6">
        <v>536386.76</v>
      </c>
    </row>
    <row r="54" spans="1:5" x14ac:dyDescent="0.3">
      <c r="A54" t="s">
        <v>50</v>
      </c>
      <c r="B54" s="16">
        <v>1790707.05</v>
      </c>
      <c r="C54" s="16">
        <v>1990465.27</v>
      </c>
      <c r="D54" s="16">
        <v>1245359.53</v>
      </c>
      <c r="E54" s="6"/>
    </row>
    <row r="55" spans="1:5" x14ac:dyDescent="0.3">
      <c r="A55" t="s">
        <v>51</v>
      </c>
      <c r="B55" s="16">
        <v>0</v>
      </c>
      <c r="C55" s="16">
        <v>0</v>
      </c>
      <c r="D55" s="16">
        <v>0</v>
      </c>
      <c r="E55" s="5"/>
    </row>
    <row r="56" spans="1:5" x14ac:dyDescent="0.3">
      <c r="A56" t="s">
        <v>111</v>
      </c>
      <c r="B56" s="16">
        <v>0</v>
      </c>
      <c r="C56" s="16">
        <v>0</v>
      </c>
      <c r="D56" s="16">
        <v>0</v>
      </c>
      <c r="E56" s="5"/>
    </row>
    <row r="57" spans="1:5" x14ac:dyDescent="0.3">
      <c r="A57" t="s">
        <v>112</v>
      </c>
      <c r="B57" s="16">
        <v>0</v>
      </c>
      <c r="C57" s="16">
        <v>0</v>
      </c>
      <c r="D57" s="16">
        <v>0</v>
      </c>
      <c r="E57" s="5"/>
    </row>
    <row r="58" spans="1:5" x14ac:dyDescent="0.3">
      <c r="A58" t="s">
        <v>113</v>
      </c>
      <c r="B58" s="16">
        <v>173337.33</v>
      </c>
      <c r="C58" s="16">
        <v>153927.01</v>
      </c>
      <c r="D58" s="16">
        <v>560119.52</v>
      </c>
      <c r="E58" s="5"/>
    </row>
    <row r="59" spans="1:5" x14ac:dyDescent="0.3">
      <c r="A59" t="s">
        <v>114</v>
      </c>
      <c r="B59" s="16">
        <v>0</v>
      </c>
      <c r="C59" s="16">
        <v>0</v>
      </c>
      <c r="D59" s="16">
        <v>0</v>
      </c>
      <c r="E59" s="5"/>
    </row>
    <row r="60" spans="1:5" x14ac:dyDescent="0.3">
      <c r="A60" t="s">
        <v>115</v>
      </c>
      <c r="B60" s="16">
        <v>46387.57</v>
      </c>
      <c r="C60" s="16">
        <v>48406.65</v>
      </c>
      <c r="D60" s="16">
        <v>65409.52</v>
      </c>
      <c r="E60" s="5"/>
    </row>
    <row r="61" spans="1:5" x14ac:dyDescent="0.3">
      <c r="A61" t="s">
        <v>116</v>
      </c>
      <c r="B61" s="16">
        <v>43.23</v>
      </c>
      <c r="C61" s="16">
        <v>0</v>
      </c>
      <c r="D61" s="16">
        <v>958.77</v>
      </c>
      <c r="E61" s="5"/>
    </row>
    <row r="62" spans="1:5" x14ac:dyDescent="0.3">
      <c r="A62" t="s">
        <v>117</v>
      </c>
      <c r="B62" s="16">
        <v>0</v>
      </c>
      <c r="C62" s="16">
        <v>0</v>
      </c>
      <c r="D62" s="16">
        <v>0</v>
      </c>
      <c r="E62" s="5"/>
    </row>
    <row r="63" spans="1:5" s="1" customFormat="1" x14ac:dyDescent="0.3">
      <c r="A63" s="1" t="s">
        <v>118</v>
      </c>
      <c r="B63" s="15">
        <v>80</v>
      </c>
      <c r="C63" s="15">
        <v>45965.2</v>
      </c>
      <c r="D63" s="15">
        <v>12166.3</v>
      </c>
      <c r="E63" s="4"/>
    </row>
    <row r="64" spans="1:5" x14ac:dyDescent="0.3">
      <c r="A64" t="s">
        <v>119</v>
      </c>
      <c r="B64" s="16">
        <v>0</v>
      </c>
      <c r="C64" s="16">
        <v>0</v>
      </c>
      <c r="D64" s="16">
        <v>0</v>
      </c>
      <c r="E64" s="5"/>
    </row>
    <row r="65" spans="1:5" x14ac:dyDescent="0.3">
      <c r="A65" t="s">
        <v>39</v>
      </c>
      <c r="B65" s="16">
        <v>80</v>
      </c>
      <c r="C65" s="16">
        <v>45965.2</v>
      </c>
      <c r="D65" s="16">
        <v>12166.3</v>
      </c>
      <c r="E65" s="5"/>
    </row>
    <row r="66" spans="1:5" x14ac:dyDescent="0.3">
      <c r="A66" t="s">
        <v>95</v>
      </c>
      <c r="B66" s="16">
        <v>0</v>
      </c>
      <c r="C66" s="16">
        <v>0</v>
      </c>
      <c r="D66" s="16">
        <v>0</v>
      </c>
      <c r="E66" s="5"/>
    </row>
    <row r="67" spans="1:5" x14ac:dyDescent="0.3">
      <c r="A67" t="s">
        <v>96</v>
      </c>
      <c r="B67" s="16">
        <v>80</v>
      </c>
      <c r="C67" s="16">
        <v>45965.2</v>
      </c>
      <c r="D67" s="16">
        <v>12166.3</v>
      </c>
      <c r="E67" s="5"/>
    </row>
    <row r="68" spans="1:5" s="1" customFormat="1" x14ac:dyDescent="0.3">
      <c r="A68" s="1" t="s">
        <v>120</v>
      </c>
      <c r="B68" s="15">
        <v>10640530.67</v>
      </c>
      <c r="C68" s="15">
        <v>8636520.7100000009</v>
      </c>
      <c r="D68" s="15">
        <v>7655105.3300000001</v>
      </c>
      <c r="E68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DDE8-9AAD-4F32-B256-776FCACC5FF7}">
  <dimension ref="A1:D55"/>
  <sheetViews>
    <sheetView topLeftCell="A28" workbookViewId="0">
      <selection activeCell="A64" sqref="A64"/>
    </sheetView>
  </sheetViews>
  <sheetFormatPr defaultRowHeight="14.4" x14ac:dyDescent="0.3"/>
  <cols>
    <col min="1" max="1" width="80.88671875" bestFit="1" customWidth="1"/>
    <col min="2" max="2" width="15.5546875" style="7" bestFit="1" customWidth="1"/>
    <col min="3" max="4" width="18" style="7" bestFit="1" customWidth="1"/>
  </cols>
  <sheetData>
    <row r="1" spans="1:4" x14ac:dyDescent="0.3">
      <c r="A1" t="s">
        <v>121</v>
      </c>
      <c r="B1" s="7" t="s">
        <v>257</v>
      </c>
      <c r="C1" s="7" t="s">
        <v>258</v>
      </c>
      <c r="D1" s="7" t="s">
        <v>259</v>
      </c>
    </row>
    <row r="3" spans="1:4" x14ac:dyDescent="0.3">
      <c r="A3" t="s">
        <v>122</v>
      </c>
      <c r="B3" s="7" t="s">
        <v>123</v>
      </c>
      <c r="C3" s="7" t="s">
        <v>124</v>
      </c>
      <c r="D3" s="7" t="s">
        <v>124</v>
      </c>
    </row>
    <row r="4" spans="1:4" x14ac:dyDescent="0.3">
      <c r="B4" s="7" t="s">
        <v>4</v>
      </c>
      <c r="C4" s="7" t="s">
        <v>4</v>
      </c>
      <c r="D4" s="7" t="s">
        <v>4</v>
      </c>
    </row>
    <row r="5" spans="1:4" s="1" customFormat="1" x14ac:dyDescent="0.3">
      <c r="A5" s="1" t="s">
        <v>125</v>
      </c>
      <c r="B5" s="15">
        <v>32029123.670000002</v>
      </c>
      <c r="C5" s="15">
        <v>22061763.34</v>
      </c>
      <c r="D5" s="15">
        <v>21733433.309999999</v>
      </c>
    </row>
    <row r="6" spans="1:4" x14ac:dyDescent="0.3">
      <c r="A6" t="s">
        <v>126</v>
      </c>
      <c r="B6" s="16">
        <v>0</v>
      </c>
      <c r="C6" s="16">
        <v>0</v>
      </c>
      <c r="D6" s="16">
        <v>0</v>
      </c>
    </row>
    <row r="7" spans="1:4" x14ac:dyDescent="0.3">
      <c r="A7" t="s">
        <v>127</v>
      </c>
      <c r="B7" s="16">
        <v>186363.45</v>
      </c>
      <c r="C7" s="16">
        <v>118669.41</v>
      </c>
      <c r="D7" s="16">
        <v>27000</v>
      </c>
    </row>
    <row r="8" spans="1:4" x14ac:dyDescent="0.3">
      <c r="A8" t="s">
        <v>128</v>
      </c>
      <c r="B8" s="16">
        <v>0</v>
      </c>
      <c r="C8" s="16">
        <v>0</v>
      </c>
      <c r="D8" s="16">
        <v>0</v>
      </c>
    </row>
    <row r="9" spans="1:4" x14ac:dyDescent="0.3">
      <c r="A9" t="s">
        <v>129</v>
      </c>
      <c r="B9" s="16">
        <v>0</v>
      </c>
      <c r="C9" s="16">
        <v>0</v>
      </c>
      <c r="D9" s="16">
        <v>0</v>
      </c>
    </row>
    <row r="10" spans="1:4" x14ac:dyDescent="0.3">
      <c r="A10" t="s">
        <v>130</v>
      </c>
      <c r="B10" s="16">
        <v>31842760.219999999</v>
      </c>
      <c r="C10" s="16">
        <v>21943093.93</v>
      </c>
      <c r="D10" s="16">
        <v>21706433.309999999</v>
      </c>
    </row>
    <row r="11" spans="1:4" x14ac:dyDescent="0.3">
      <c r="A11" s="1" t="s">
        <v>131</v>
      </c>
      <c r="B11" s="16">
        <v>28729403.68</v>
      </c>
      <c r="C11" s="16">
        <v>20892173.25</v>
      </c>
      <c r="D11" s="16">
        <v>19274942.129999999</v>
      </c>
    </row>
    <row r="12" spans="1:4" x14ac:dyDescent="0.3">
      <c r="A12" t="s">
        <v>132</v>
      </c>
      <c r="B12" s="16">
        <v>164727.92000000001</v>
      </c>
      <c r="C12" s="16">
        <v>63205.03</v>
      </c>
      <c r="D12" s="16">
        <v>179467.65</v>
      </c>
    </row>
    <row r="13" spans="1:4" x14ac:dyDescent="0.3">
      <c r="A13" t="s">
        <v>133</v>
      </c>
      <c r="B13" s="16">
        <v>418619.09</v>
      </c>
      <c r="C13" s="16">
        <v>406860.27</v>
      </c>
      <c r="D13" s="16">
        <v>420476.19</v>
      </c>
    </row>
    <row r="14" spans="1:4" x14ac:dyDescent="0.3">
      <c r="A14" t="s">
        <v>134</v>
      </c>
      <c r="B14" s="16">
        <v>12034440.310000001</v>
      </c>
      <c r="C14" s="16">
        <v>9011131</v>
      </c>
      <c r="D14" s="16">
        <v>7982102.2699999996</v>
      </c>
    </row>
    <row r="15" spans="1:4" x14ac:dyDescent="0.3">
      <c r="A15" t="s">
        <v>135</v>
      </c>
      <c r="B15" s="16">
        <v>29416.9</v>
      </c>
      <c r="C15" s="16">
        <v>4825.3900000000003</v>
      </c>
      <c r="D15" s="16">
        <v>30703.919999999998</v>
      </c>
    </row>
    <row r="16" spans="1:4" x14ac:dyDescent="0.3">
      <c r="A16" t="s">
        <v>136</v>
      </c>
      <c r="B16" s="16">
        <v>0</v>
      </c>
      <c r="C16" s="16">
        <v>0</v>
      </c>
      <c r="D16" s="16">
        <v>0</v>
      </c>
    </row>
    <row r="17" spans="1:4" x14ac:dyDescent="0.3">
      <c r="A17" t="s">
        <v>137</v>
      </c>
      <c r="B17" s="16">
        <v>598926.71</v>
      </c>
      <c r="C17" s="16">
        <v>694843.82</v>
      </c>
      <c r="D17" s="16">
        <v>709293.38</v>
      </c>
    </row>
    <row r="18" spans="1:4" x14ac:dyDescent="0.3">
      <c r="A18" t="s">
        <v>138</v>
      </c>
      <c r="B18" s="16">
        <v>14963.16</v>
      </c>
      <c r="C18" s="16">
        <v>30009.73</v>
      </c>
      <c r="D18" s="16">
        <v>22041.68</v>
      </c>
    </row>
    <row r="19" spans="1:4" x14ac:dyDescent="0.3">
      <c r="A19" t="s">
        <v>139</v>
      </c>
      <c r="B19" s="16">
        <v>0</v>
      </c>
      <c r="C19" s="16">
        <v>14225.25</v>
      </c>
      <c r="D19" s="16">
        <v>10433.99</v>
      </c>
    </row>
    <row r="20" spans="1:4" x14ac:dyDescent="0.3">
      <c r="A20" t="s">
        <v>140</v>
      </c>
      <c r="B20" s="16">
        <v>220349.4</v>
      </c>
      <c r="C20" s="16">
        <v>140498.37</v>
      </c>
      <c r="D20" s="16">
        <v>112875.97</v>
      </c>
    </row>
    <row r="21" spans="1:4" x14ac:dyDescent="0.3">
      <c r="A21" t="s">
        <v>141</v>
      </c>
      <c r="B21" s="16">
        <v>15247960.189999999</v>
      </c>
      <c r="C21" s="16">
        <v>10540799.640000001</v>
      </c>
      <c r="D21" s="16">
        <v>9817981.0700000003</v>
      </c>
    </row>
    <row r="22" spans="1:4" s="1" customFormat="1" x14ac:dyDescent="0.3">
      <c r="A22" s="1" t="s">
        <v>142</v>
      </c>
      <c r="B22" s="15">
        <v>3299719.99</v>
      </c>
      <c r="C22" s="15">
        <v>1169590.0900000001</v>
      </c>
      <c r="D22" s="15">
        <v>2458491.1800000002</v>
      </c>
    </row>
    <row r="23" spans="1:4" s="1" customFormat="1" x14ac:dyDescent="0.3">
      <c r="A23" s="1" t="s">
        <v>143</v>
      </c>
      <c r="B23" s="15">
        <v>122686.34</v>
      </c>
      <c r="C23" s="15">
        <v>17895.39</v>
      </c>
      <c r="D23" s="15">
        <v>70377.66</v>
      </c>
    </row>
    <row r="24" spans="1:4" x14ac:dyDescent="0.3">
      <c r="A24" t="s">
        <v>144</v>
      </c>
      <c r="B24" s="16">
        <v>0</v>
      </c>
      <c r="C24" s="16">
        <v>0</v>
      </c>
      <c r="D24" s="16">
        <v>0</v>
      </c>
    </row>
    <row r="25" spans="1:4" x14ac:dyDescent="0.3">
      <c r="A25" t="s">
        <v>145</v>
      </c>
      <c r="B25" s="16">
        <v>0</v>
      </c>
      <c r="C25" s="16">
        <v>0</v>
      </c>
      <c r="D25" s="16">
        <v>0</v>
      </c>
    </row>
    <row r="26" spans="1:4" x14ac:dyDescent="0.3">
      <c r="A26" t="s">
        <v>146</v>
      </c>
      <c r="B26" s="16">
        <v>2000</v>
      </c>
      <c r="C26" s="16">
        <v>0</v>
      </c>
      <c r="D26" s="16">
        <v>0</v>
      </c>
    </row>
    <row r="27" spans="1:4" x14ac:dyDescent="0.3">
      <c r="A27" t="s">
        <v>147</v>
      </c>
      <c r="B27" s="16">
        <v>120686.34</v>
      </c>
      <c r="C27" s="16">
        <v>17895.39</v>
      </c>
      <c r="D27" s="16">
        <v>70377.66</v>
      </c>
    </row>
    <row r="28" spans="1:4" s="1" customFormat="1" x14ac:dyDescent="0.3">
      <c r="A28" s="1" t="s">
        <v>148</v>
      </c>
      <c r="B28" s="15">
        <v>179218.7</v>
      </c>
      <c r="C28" s="15">
        <v>207524.55</v>
      </c>
      <c r="D28" s="15">
        <v>107509.11</v>
      </c>
    </row>
    <row r="29" spans="1:4" x14ac:dyDescent="0.3">
      <c r="A29" t="s">
        <v>149</v>
      </c>
      <c r="B29" s="16">
        <v>0</v>
      </c>
      <c r="C29" s="16">
        <v>10232.52</v>
      </c>
      <c r="D29" s="16">
        <v>0</v>
      </c>
    </row>
    <row r="30" spans="1:4" x14ac:dyDescent="0.3">
      <c r="A30" t="s">
        <v>150</v>
      </c>
      <c r="B30" s="16">
        <v>1353</v>
      </c>
      <c r="C30" s="16">
        <v>102669.72</v>
      </c>
      <c r="D30" s="16">
        <v>15626.69</v>
      </c>
    </row>
    <row r="31" spans="1:4" x14ac:dyDescent="0.3">
      <c r="A31" t="s">
        <v>151</v>
      </c>
      <c r="B31" s="16">
        <v>177865.7</v>
      </c>
      <c r="C31" s="16">
        <v>94622.31</v>
      </c>
      <c r="D31" s="16">
        <v>91882.42</v>
      </c>
    </row>
    <row r="32" spans="1:4" s="1" customFormat="1" x14ac:dyDescent="0.3">
      <c r="A32" s="1" t="s">
        <v>152</v>
      </c>
      <c r="B32" s="15">
        <v>3243187.63</v>
      </c>
      <c r="C32" s="15">
        <v>979960.93</v>
      </c>
      <c r="D32" s="15">
        <v>2421359.73</v>
      </c>
    </row>
    <row r="33" spans="1:4" s="1" customFormat="1" x14ac:dyDescent="0.3">
      <c r="A33" s="1" t="s">
        <v>153</v>
      </c>
      <c r="B33" s="15">
        <v>228.66</v>
      </c>
      <c r="C33" s="15">
        <v>77400.95</v>
      </c>
      <c r="D33" s="15">
        <v>186238.87</v>
      </c>
    </row>
    <row r="34" spans="1:4" x14ac:dyDescent="0.3">
      <c r="A34" t="s">
        <v>154</v>
      </c>
      <c r="B34" s="16">
        <v>0</v>
      </c>
      <c r="C34" s="16">
        <v>0</v>
      </c>
      <c r="D34" s="16">
        <v>0</v>
      </c>
    </row>
    <row r="35" spans="1:4" x14ac:dyDescent="0.3">
      <c r="A35" t="s">
        <v>155</v>
      </c>
      <c r="B35" s="16">
        <v>0</v>
      </c>
      <c r="C35" s="16">
        <v>0</v>
      </c>
      <c r="D35" s="16">
        <v>0</v>
      </c>
    </row>
    <row r="36" spans="1:4" x14ac:dyDescent="0.3">
      <c r="A36" t="s">
        <v>156</v>
      </c>
      <c r="B36" s="16">
        <v>0</v>
      </c>
      <c r="C36" s="16">
        <v>0</v>
      </c>
      <c r="D36" s="16">
        <v>0</v>
      </c>
    </row>
    <row r="37" spans="1:4" x14ac:dyDescent="0.3">
      <c r="A37" t="s">
        <v>157</v>
      </c>
      <c r="B37" s="16">
        <v>0</v>
      </c>
      <c r="C37" s="16">
        <v>0</v>
      </c>
      <c r="D37" s="16">
        <v>0</v>
      </c>
    </row>
    <row r="38" spans="1:4" x14ac:dyDescent="0.3">
      <c r="A38" t="s">
        <v>156</v>
      </c>
      <c r="B38" s="16">
        <v>0</v>
      </c>
      <c r="C38" s="16">
        <v>0</v>
      </c>
      <c r="D38" s="16">
        <v>0</v>
      </c>
    </row>
    <row r="39" spans="1:4" x14ac:dyDescent="0.3">
      <c r="A39" t="s">
        <v>158</v>
      </c>
      <c r="B39" s="16">
        <v>228.66</v>
      </c>
      <c r="C39" s="16">
        <v>324.33</v>
      </c>
      <c r="D39" s="16">
        <v>0</v>
      </c>
    </row>
    <row r="40" spans="1:4" x14ac:dyDescent="0.3">
      <c r="A40" t="s">
        <v>126</v>
      </c>
      <c r="B40" s="16">
        <v>0</v>
      </c>
      <c r="C40" s="16">
        <v>0</v>
      </c>
      <c r="D40" s="16">
        <v>0</v>
      </c>
    </row>
    <row r="41" spans="1:4" x14ac:dyDescent="0.3">
      <c r="A41" t="s">
        <v>159</v>
      </c>
      <c r="B41" s="16">
        <v>0</v>
      </c>
      <c r="C41" s="16">
        <v>77076.62</v>
      </c>
      <c r="D41" s="16">
        <v>177065.9</v>
      </c>
    </row>
    <row r="42" spans="1:4" x14ac:dyDescent="0.3">
      <c r="A42" t="s">
        <v>160</v>
      </c>
      <c r="B42" s="16">
        <v>0</v>
      </c>
      <c r="C42" s="16">
        <v>0</v>
      </c>
      <c r="D42" s="16">
        <v>0</v>
      </c>
    </row>
    <row r="43" spans="1:4" x14ac:dyDescent="0.3">
      <c r="A43" t="s">
        <v>161</v>
      </c>
      <c r="B43" s="16">
        <v>0</v>
      </c>
      <c r="C43" s="16">
        <v>0</v>
      </c>
      <c r="D43" s="16">
        <v>0</v>
      </c>
    </row>
    <row r="44" spans="1:4" x14ac:dyDescent="0.3">
      <c r="A44" t="s">
        <v>162</v>
      </c>
      <c r="B44" s="16">
        <v>0</v>
      </c>
      <c r="C44" s="16">
        <v>0</v>
      </c>
      <c r="D44" s="16">
        <v>9172.9699999999993</v>
      </c>
    </row>
    <row r="45" spans="1:4" s="1" customFormat="1" x14ac:dyDescent="0.3">
      <c r="A45" s="1" t="s">
        <v>163</v>
      </c>
      <c r="B45" s="15">
        <v>408626.03</v>
      </c>
      <c r="C45" s="15">
        <v>377691.24</v>
      </c>
      <c r="D45" s="15">
        <v>78191.78</v>
      </c>
    </row>
    <row r="46" spans="1:4" s="1" customFormat="1" x14ac:dyDescent="0.3">
      <c r="A46" s="1" t="s">
        <v>164</v>
      </c>
      <c r="B46" s="15">
        <v>99824.48</v>
      </c>
      <c r="C46" s="15">
        <v>24019.05</v>
      </c>
      <c r="D46" s="15">
        <v>78191.78</v>
      </c>
    </row>
    <row r="47" spans="1:4" x14ac:dyDescent="0.3">
      <c r="A47" t="s">
        <v>165</v>
      </c>
      <c r="B47" s="16">
        <v>0</v>
      </c>
      <c r="C47" s="16">
        <v>0</v>
      </c>
      <c r="D47" s="16">
        <v>0</v>
      </c>
    </row>
    <row r="48" spans="1:4" x14ac:dyDescent="0.3">
      <c r="A48" t="s">
        <v>166</v>
      </c>
      <c r="B48" s="16">
        <v>182603.5</v>
      </c>
      <c r="C48" s="16">
        <v>0</v>
      </c>
      <c r="D48" s="16">
        <v>0</v>
      </c>
    </row>
    <row r="49" spans="1:4" x14ac:dyDescent="0.3">
      <c r="A49" t="s">
        <v>160</v>
      </c>
      <c r="B49" s="16">
        <v>0</v>
      </c>
      <c r="C49" s="16">
        <v>0</v>
      </c>
      <c r="D49" s="16">
        <v>0</v>
      </c>
    </row>
    <row r="50" spans="1:4" x14ac:dyDescent="0.3">
      <c r="A50" t="s">
        <v>167</v>
      </c>
      <c r="B50" s="16">
        <v>0</v>
      </c>
      <c r="C50" s="16">
        <v>0</v>
      </c>
      <c r="D50" s="16">
        <v>0</v>
      </c>
    </row>
    <row r="51" spans="1:4" x14ac:dyDescent="0.3">
      <c r="A51" t="s">
        <v>168</v>
      </c>
      <c r="B51" s="16">
        <v>126198.05</v>
      </c>
      <c r="C51" s="16">
        <v>353672.19</v>
      </c>
      <c r="D51" s="16">
        <v>0</v>
      </c>
    </row>
    <row r="52" spans="1:4" s="1" customFormat="1" x14ac:dyDescent="0.3">
      <c r="A52" s="1" t="s">
        <v>169</v>
      </c>
      <c r="B52" s="15">
        <v>2834790.26</v>
      </c>
      <c r="C52" s="15">
        <v>679670.64</v>
      </c>
      <c r="D52" s="15">
        <v>2529406.8199999998</v>
      </c>
    </row>
    <row r="53" spans="1:4" s="1" customFormat="1" x14ac:dyDescent="0.3">
      <c r="A53" s="1" t="s">
        <v>170</v>
      </c>
      <c r="B53" s="15">
        <v>538396</v>
      </c>
      <c r="C53" s="15">
        <v>125287</v>
      </c>
      <c r="D53" s="15">
        <v>515251</v>
      </c>
    </row>
    <row r="54" spans="1:4" s="1" customFormat="1" x14ac:dyDescent="0.3">
      <c r="A54" s="1" t="s">
        <v>171</v>
      </c>
      <c r="B54" s="15">
        <v>0</v>
      </c>
      <c r="C54" s="15">
        <v>0</v>
      </c>
      <c r="D54" s="15">
        <v>0</v>
      </c>
    </row>
    <row r="55" spans="1:4" s="1" customFormat="1" x14ac:dyDescent="0.3">
      <c r="A55" s="1" t="s">
        <v>172</v>
      </c>
      <c r="B55" s="15">
        <v>2296394.2599999998</v>
      </c>
      <c r="C55" s="15">
        <v>554383.64</v>
      </c>
      <c r="D55" s="15">
        <v>2014155.82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FA50-D224-42F2-970C-8EADC236D412}">
  <dimension ref="A1:D72"/>
  <sheetViews>
    <sheetView topLeftCell="A43" workbookViewId="0">
      <selection activeCell="E11" sqref="E11"/>
    </sheetView>
  </sheetViews>
  <sheetFormatPr defaultRowHeight="14.4" x14ac:dyDescent="0.3"/>
  <cols>
    <col min="1" max="1" width="66.33203125" bestFit="1" customWidth="1"/>
    <col min="2" max="2" width="15.5546875" style="7" bestFit="1" customWidth="1"/>
    <col min="3" max="4" width="18" style="7" bestFit="1" customWidth="1"/>
  </cols>
  <sheetData>
    <row r="1" spans="1:4" x14ac:dyDescent="0.3">
      <c r="A1" t="s">
        <v>173</v>
      </c>
      <c r="B1" s="7" t="s">
        <v>257</v>
      </c>
      <c r="C1" s="7" t="s">
        <v>258</v>
      </c>
      <c r="D1" s="7" t="s">
        <v>259</v>
      </c>
    </row>
    <row r="3" spans="1:4" x14ac:dyDescent="0.3">
      <c r="A3" t="s">
        <v>174</v>
      </c>
      <c r="B3" s="7" t="s">
        <v>123</v>
      </c>
      <c r="C3" s="7" t="s">
        <v>124</v>
      </c>
      <c r="D3" s="7" t="s">
        <v>124</v>
      </c>
    </row>
    <row r="4" spans="1:4" x14ac:dyDescent="0.3">
      <c r="B4" s="7" t="s">
        <v>4</v>
      </c>
      <c r="C4" s="7" t="s">
        <v>4</v>
      </c>
      <c r="D4" s="7" t="s">
        <v>4</v>
      </c>
    </row>
    <row r="5" spans="1:4" s="1" customFormat="1" x14ac:dyDescent="0.3">
      <c r="A5" s="1" t="s">
        <v>176</v>
      </c>
      <c r="B5" s="15">
        <v>0</v>
      </c>
      <c r="C5" s="15">
        <v>0</v>
      </c>
      <c r="D5" s="15">
        <v>0</v>
      </c>
    </row>
    <row r="6" spans="1:4" s="1" customFormat="1" x14ac:dyDescent="0.3">
      <c r="A6" s="1" t="s">
        <v>177</v>
      </c>
      <c r="B6" s="15">
        <v>2296394.2599999998</v>
      </c>
      <c r="C6" s="15">
        <v>554383.64</v>
      </c>
      <c r="D6" s="15">
        <v>2014155.82</v>
      </c>
    </row>
    <row r="7" spans="1:4" s="1" customFormat="1" x14ac:dyDescent="0.3">
      <c r="A7" s="1" t="s">
        <v>178</v>
      </c>
      <c r="B7" s="15">
        <v>-1062494.77</v>
      </c>
      <c r="C7" s="15">
        <v>-2248610.5099999998</v>
      </c>
      <c r="D7" s="15">
        <v>283946.12</v>
      </c>
    </row>
    <row r="8" spans="1:4" x14ac:dyDescent="0.3">
      <c r="A8" t="s">
        <v>179</v>
      </c>
      <c r="B8" s="16">
        <v>164727.92000000001</v>
      </c>
      <c r="C8" s="16">
        <v>63205.03</v>
      </c>
      <c r="D8" s="16">
        <v>179467.65</v>
      </c>
    </row>
    <row r="9" spans="1:4" x14ac:dyDescent="0.3">
      <c r="A9" t="s">
        <v>180</v>
      </c>
      <c r="B9" s="16">
        <v>0</v>
      </c>
      <c r="C9" s="16">
        <v>0</v>
      </c>
      <c r="D9" s="16">
        <v>0</v>
      </c>
    </row>
    <row r="10" spans="1:4" x14ac:dyDescent="0.3">
      <c r="A10" t="s">
        <v>181</v>
      </c>
      <c r="B10" s="16">
        <v>99595.82</v>
      </c>
      <c r="C10" s="16">
        <v>23694.720000000001</v>
      </c>
      <c r="D10" s="16">
        <v>78191.78</v>
      </c>
    </row>
    <row r="11" spans="1:4" x14ac:dyDescent="0.3">
      <c r="A11" t="s">
        <v>182</v>
      </c>
      <c r="B11" s="16">
        <v>182603.5</v>
      </c>
      <c r="C11" s="16">
        <v>-66844.100000000006</v>
      </c>
      <c r="D11" s="16">
        <v>-123033.53</v>
      </c>
    </row>
    <row r="12" spans="1:4" x14ac:dyDescent="0.3">
      <c r="A12" t="s">
        <v>183</v>
      </c>
      <c r="B12" s="16">
        <v>-4030</v>
      </c>
      <c r="C12" s="16">
        <v>4030</v>
      </c>
      <c r="D12" s="16">
        <v>0</v>
      </c>
    </row>
    <row r="13" spans="1:4" x14ac:dyDescent="0.3">
      <c r="A13" t="s">
        <v>184</v>
      </c>
      <c r="B13" s="16">
        <v>-271005.01</v>
      </c>
      <c r="C13" s="16">
        <v>-2202788.11</v>
      </c>
      <c r="D13" s="16">
        <v>645503.59</v>
      </c>
    </row>
    <row r="14" spans="1:4" x14ac:dyDescent="0.3">
      <c r="A14" t="s">
        <v>185</v>
      </c>
      <c r="B14" s="16">
        <v>-1009758.69</v>
      </c>
      <c r="C14" s="16">
        <v>-345732.54</v>
      </c>
      <c r="D14" s="16">
        <v>-1482653.79</v>
      </c>
    </row>
    <row r="15" spans="1:4" x14ac:dyDescent="0.3">
      <c r="A15" t="s">
        <v>186</v>
      </c>
      <c r="B15" s="16">
        <v>-182323.75</v>
      </c>
      <c r="C15" s="16">
        <v>320951.59000000003</v>
      </c>
      <c r="D15" s="16">
        <v>1020366.71</v>
      </c>
    </row>
    <row r="16" spans="1:4" x14ac:dyDescent="0.3">
      <c r="A16" t="s">
        <v>187</v>
      </c>
      <c r="B16" s="16">
        <v>0</v>
      </c>
      <c r="C16" s="16">
        <v>0</v>
      </c>
      <c r="D16" s="16">
        <v>0</v>
      </c>
    </row>
    <row r="17" spans="1:4" x14ac:dyDescent="0.3">
      <c r="A17" t="s">
        <v>188</v>
      </c>
      <c r="B17" s="16">
        <v>-42304.56</v>
      </c>
      <c r="C17" s="16">
        <v>-45127.1</v>
      </c>
      <c r="D17" s="16">
        <v>-33896.29</v>
      </c>
    </row>
    <row r="18" spans="1:4" x14ac:dyDescent="0.3">
      <c r="A18" t="s">
        <v>189</v>
      </c>
      <c r="B18" s="16">
        <v>0</v>
      </c>
      <c r="C18" s="16">
        <v>0</v>
      </c>
      <c r="D18" s="16">
        <v>0</v>
      </c>
    </row>
    <row r="19" spans="1:4" s="1" customFormat="1" x14ac:dyDescent="0.3">
      <c r="A19" s="1" t="s">
        <v>190</v>
      </c>
      <c r="B19" s="15">
        <v>1233899.49</v>
      </c>
      <c r="C19" s="15">
        <v>-1694226.87</v>
      </c>
      <c r="D19" s="15">
        <v>2298101.94</v>
      </c>
    </row>
    <row r="20" spans="1:4" x14ac:dyDescent="0.3">
      <c r="A20" t="s">
        <v>175</v>
      </c>
      <c r="B20" s="16">
        <v>0</v>
      </c>
      <c r="C20" s="16">
        <v>0</v>
      </c>
      <c r="D20" s="16">
        <v>0</v>
      </c>
    </row>
    <row r="21" spans="1:4" s="1" customFormat="1" x14ac:dyDescent="0.3">
      <c r="A21" s="1" t="s">
        <v>191</v>
      </c>
      <c r="B21" s="15">
        <v>0</v>
      </c>
      <c r="C21" s="15">
        <v>0</v>
      </c>
      <c r="D21" s="15">
        <v>0</v>
      </c>
    </row>
    <row r="22" spans="1:4" s="1" customFormat="1" x14ac:dyDescent="0.3">
      <c r="A22" s="1" t="s">
        <v>192</v>
      </c>
      <c r="B22" s="15">
        <v>228.66</v>
      </c>
      <c r="C22" s="15">
        <v>85368.43</v>
      </c>
      <c r="D22" s="15">
        <v>177065.9</v>
      </c>
    </row>
    <row r="23" spans="1:4" x14ac:dyDescent="0.3">
      <c r="A23" t="s">
        <v>193</v>
      </c>
      <c r="B23" s="16">
        <v>0</v>
      </c>
      <c r="C23" s="16">
        <v>7967.48</v>
      </c>
      <c r="D23" s="16">
        <v>0</v>
      </c>
    </row>
    <row r="24" spans="1:4" x14ac:dyDescent="0.3">
      <c r="A24" t="s">
        <v>194</v>
      </c>
      <c r="B24" s="16">
        <v>0</v>
      </c>
      <c r="C24" s="16">
        <v>0</v>
      </c>
      <c r="D24" s="16">
        <v>0</v>
      </c>
    </row>
    <row r="25" spans="1:4" x14ac:dyDescent="0.3">
      <c r="A25" t="s">
        <v>195</v>
      </c>
      <c r="B25" s="16">
        <v>0</v>
      </c>
      <c r="C25" s="16">
        <v>0</v>
      </c>
      <c r="D25" s="16">
        <v>0</v>
      </c>
    </row>
    <row r="26" spans="1:4" x14ac:dyDescent="0.3">
      <c r="A26" t="s">
        <v>196</v>
      </c>
      <c r="B26" s="16">
        <v>228.66</v>
      </c>
      <c r="C26" s="16">
        <v>77400.95</v>
      </c>
      <c r="D26" s="16">
        <v>177065.9</v>
      </c>
    </row>
    <row r="27" spans="1:4" x14ac:dyDescent="0.3">
      <c r="A27" t="s">
        <v>62</v>
      </c>
      <c r="B27" s="16">
        <v>0</v>
      </c>
      <c r="C27" s="16">
        <v>0</v>
      </c>
      <c r="D27" s="16">
        <v>0</v>
      </c>
    </row>
    <row r="28" spans="1:4" x14ac:dyDescent="0.3">
      <c r="A28" s="1" t="s">
        <v>64</v>
      </c>
      <c r="B28" s="16">
        <v>228.66</v>
      </c>
      <c r="C28" s="16">
        <v>77400.95</v>
      </c>
      <c r="D28" s="16">
        <v>177065.9</v>
      </c>
    </row>
    <row r="29" spans="1:4" x14ac:dyDescent="0.3">
      <c r="A29" t="s">
        <v>197</v>
      </c>
      <c r="B29" s="16">
        <v>0</v>
      </c>
      <c r="C29" s="16">
        <v>77076.62</v>
      </c>
      <c r="D29" s="16">
        <v>177065.9</v>
      </c>
    </row>
    <row r="30" spans="1:4" x14ac:dyDescent="0.3">
      <c r="A30" t="s">
        <v>198</v>
      </c>
      <c r="B30" s="16">
        <v>0</v>
      </c>
      <c r="C30" s="16">
        <v>0</v>
      </c>
      <c r="D30" s="16">
        <v>0</v>
      </c>
    </row>
    <row r="31" spans="1:4" x14ac:dyDescent="0.3">
      <c r="A31" t="s">
        <v>199</v>
      </c>
      <c r="B31" s="16">
        <v>0</v>
      </c>
      <c r="C31" s="16">
        <v>0</v>
      </c>
      <c r="D31" s="16">
        <v>0</v>
      </c>
    </row>
    <row r="32" spans="1:4" x14ac:dyDescent="0.3">
      <c r="A32" t="s">
        <v>200</v>
      </c>
      <c r="B32" s="16">
        <v>228.66</v>
      </c>
      <c r="C32" s="16">
        <v>324.33</v>
      </c>
      <c r="D32" s="16">
        <v>0</v>
      </c>
    </row>
    <row r="33" spans="1:4" x14ac:dyDescent="0.3">
      <c r="A33" t="s">
        <v>201</v>
      </c>
      <c r="B33" s="16">
        <v>0</v>
      </c>
      <c r="C33" s="16">
        <v>0</v>
      </c>
      <c r="D33" s="16">
        <v>0</v>
      </c>
    </row>
    <row r="34" spans="1:4" x14ac:dyDescent="0.3">
      <c r="A34" t="s">
        <v>202</v>
      </c>
      <c r="B34" s="16">
        <v>0</v>
      </c>
      <c r="C34" s="16">
        <v>0</v>
      </c>
      <c r="D34" s="16">
        <v>0</v>
      </c>
    </row>
    <row r="35" spans="1:4" s="1" customFormat="1" x14ac:dyDescent="0.3">
      <c r="A35" s="1" t="s">
        <v>203</v>
      </c>
      <c r="B35" s="15">
        <v>427883.39</v>
      </c>
      <c r="C35" s="15">
        <v>316189</v>
      </c>
      <c r="D35" s="15">
        <v>48595.57</v>
      </c>
    </row>
    <row r="36" spans="1:4" x14ac:dyDescent="0.3">
      <c r="A36" t="s">
        <v>204</v>
      </c>
      <c r="B36" s="16">
        <v>40457.69</v>
      </c>
      <c r="C36" s="16">
        <v>316189</v>
      </c>
      <c r="D36" s="16">
        <v>48595.57</v>
      </c>
    </row>
    <row r="37" spans="1:4" x14ac:dyDescent="0.3">
      <c r="A37" t="s">
        <v>194</v>
      </c>
      <c r="B37" s="16">
        <v>0</v>
      </c>
      <c r="C37" s="16">
        <v>0</v>
      </c>
      <c r="D37" s="16">
        <v>0</v>
      </c>
    </row>
    <row r="38" spans="1:4" x14ac:dyDescent="0.3">
      <c r="A38" t="s">
        <v>205</v>
      </c>
      <c r="B38" s="16">
        <v>0</v>
      </c>
      <c r="C38" s="16">
        <v>0</v>
      </c>
      <c r="D38" s="16">
        <v>0</v>
      </c>
    </row>
    <row r="39" spans="1:4" x14ac:dyDescent="0.3">
      <c r="A39" t="s">
        <v>206</v>
      </c>
      <c r="B39" s="16">
        <v>387425.7</v>
      </c>
      <c r="C39" s="16">
        <v>0</v>
      </c>
      <c r="D39" s="16">
        <v>0</v>
      </c>
    </row>
    <row r="40" spans="1:4" x14ac:dyDescent="0.3">
      <c r="A40" t="s">
        <v>62</v>
      </c>
      <c r="B40" s="16">
        <v>0</v>
      </c>
      <c r="C40" s="16">
        <v>0</v>
      </c>
      <c r="D40" s="16">
        <v>0</v>
      </c>
    </row>
    <row r="41" spans="1:4" x14ac:dyDescent="0.3">
      <c r="A41" t="s">
        <v>64</v>
      </c>
      <c r="B41" s="16">
        <v>387425.7</v>
      </c>
      <c r="C41" s="16">
        <v>0</v>
      </c>
      <c r="D41" s="16">
        <v>0</v>
      </c>
    </row>
    <row r="42" spans="1:4" x14ac:dyDescent="0.3">
      <c r="A42" t="s">
        <v>207</v>
      </c>
      <c r="B42" s="16">
        <v>182603.5</v>
      </c>
      <c r="C42" s="16">
        <v>0</v>
      </c>
      <c r="D42" s="16">
        <v>0</v>
      </c>
    </row>
    <row r="43" spans="1:4" x14ac:dyDescent="0.3">
      <c r="A43" t="s">
        <v>208</v>
      </c>
      <c r="B43" s="16">
        <v>204822.2</v>
      </c>
      <c r="C43" s="16">
        <v>0</v>
      </c>
      <c r="D43" s="16">
        <v>0</v>
      </c>
    </row>
    <row r="44" spans="1:4" x14ac:dyDescent="0.3">
      <c r="A44" t="s">
        <v>209</v>
      </c>
      <c r="B44" s="16">
        <v>0</v>
      </c>
      <c r="C44" s="16">
        <v>0</v>
      </c>
      <c r="D44" s="16">
        <v>0</v>
      </c>
    </row>
    <row r="45" spans="1:4" x14ac:dyDescent="0.3">
      <c r="A45" t="s">
        <v>210</v>
      </c>
      <c r="B45" s="16">
        <v>0</v>
      </c>
      <c r="C45" s="16">
        <v>0</v>
      </c>
      <c r="D45" s="16">
        <v>0</v>
      </c>
    </row>
    <row r="46" spans="1:4" s="1" customFormat="1" x14ac:dyDescent="0.3">
      <c r="A46" s="1" t="s">
        <v>211</v>
      </c>
      <c r="B46" s="15">
        <v>-427654.73</v>
      </c>
      <c r="C46" s="15">
        <v>-230820.57</v>
      </c>
      <c r="D46" s="15">
        <v>128470.33</v>
      </c>
    </row>
    <row r="47" spans="1:4" x14ac:dyDescent="0.3">
      <c r="B47" s="16">
        <v>0</v>
      </c>
      <c r="C47" s="16">
        <v>0</v>
      </c>
      <c r="D47" s="16">
        <v>0</v>
      </c>
    </row>
    <row r="48" spans="1:4" s="1" customFormat="1" x14ac:dyDescent="0.3">
      <c r="A48" s="1" t="s">
        <v>212</v>
      </c>
      <c r="B48" s="15">
        <v>0</v>
      </c>
      <c r="C48" s="15">
        <v>0</v>
      </c>
      <c r="D48" s="15">
        <v>0</v>
      </c>
    </row>
    <row r="49" spans="1:4" s="1" customFormat="1" x14ac:dyDescent="0.3">
      <c r="A49" s="1" t="s">
        <v>192</v>
      </c>
      <c r="B49" s="15">
        <v>2512295.88</v>
      </c>
      <c r="C49" s="15">
        <v>363730.62</v>
      </c>
      <c r="D49" s="15">
        <v>552612.68000000005</v>
      </c>
    </row>
    <row r="50" spans="1:4" x14ac:dyDescent="0.3">
      <c r="A50" t="s">
        <v>213</v>
      </c>
      <c r="B50" s="16">
        <v>0</v>
      </c>
      <c r="C50" s="16">
        <v>8105.9</v>
      </c>
      <c r="D50" s="16">
        <v>0</v>
      </c>
    </row>
    <row r="51" spans="1:4" x14ac:dyDescent="0.3">
      <c r="A51" t="s">
        <v>214</v>
      </c>
      <c r="B51" s="16">
        <v>0</v>
      </c>
      <c r="C51" s="16">
        <v>0</v>
      </c>
      <c r="D51" s="16">
        <v>0</v>
      </c>
    </row>
    <row r="52" spans="1:4" x14ac:dyDescent="0.3">
      <c r="A52" t="s">
        <v>215</v>
      </c>
      <c r="B52" s="16">
        <v>2512295.88</v>
      </c>
      <c r="C52" s="16">
        <v>355624.72</v>
      </c>
      <c r="D52" s="16">
        <v>552612.68000000005</v>
      </c>
    </row>
    <row r="53" spans="1:4" x14ac:dyDescent="0.3">
      <c r="A53" t="s">
        <v>216</v>
      </c>
      <c r="B53" s="16">
        <v>0</v>
      </c>
      <c r="C53" s="16">
        <v>0</v>
      </c>
      <c r="D53" s="16">
        <v>0</v>
      </c>
    </row>
    <row r="54" spans="1:4" x14ac:dyDescent="0.3">
      <c r="A54" t="s">
        <v>217</v>
      </c>
      <c r="B54" s="16">
        <v>0</v>
      </c>
      <c r="C54" s="16">
        <v>0</v>
      </c>
      <c r="D54" s="16">
        <v>0</v>
      </c>
    </row>
    <row r="55" spans="1:4" s="1" customFormat="1" x14ac:dyDescent="0.3">
      <c r="A55" s="1" t="s">
        <v>203</v>
      </c>
      <c r="B55" s="15">
        <v>2672265.71</v>
      </c>
      <c r="C55" s="15">
        <v>319498.42</v>
      </c>
      <c r="D55" s="15">
        <v>981554.46</v>
      </c>
    </row>
    <row r="56" spans="1:4" x14ac:dyDescent="0.3">
      <c r="A56" t="s">
        <v>218</v>
      </c>
      <c r="B56" s="16">
        <v>0</v>
      </c>
      <c r="C56" s="16">
        <v>0</v>
      </c>
      <c r="D56" s="16">
        <v>0</v>
      </c>
    </row>
    <row r="57" spans="1:4" x14ac:dyDescent="0.3">
      <c r="A57" t="s">
        <v>219</v>
      </c>
      <c r="B57" s="16">
        <v>0</v>
      </c>
      <c r="C57" s="16">
        <v>0</v>
      </c>
      <c r="D57" s="16">
        <v>0</v>
      </c>
    </row>
    <row r="58" spans="1:4" x14ac:dyDescent="0.3">
      <c r="A58" t="s">
        <v>220</v>
      </c>
      <c r="B58" s="16">
        <v>0</v>
      </c>
      <c r="C58" s="16">
        <v>0</v>
      </c>
      <c r="D58" s="16">
        <v>0</v>
      </c>
    </row>
    <row r="59" spans="1:4" x14ac:dyDescent="0.3">
      <c r="A59" t="s">
        <v>221</v>
      </c>
      <c r="B59" s="16">
        <v>2572441.23</v>
      </c>
      <c r="C59" s="16">
        <v>295479.37</v>
      </c>
      <c r="D59" s="16">
        <v>903362.68</v>
      </c>
    </row>
    <row r="60" spans="1:4" x14ac:dyDescent="0.3">
      <c r="A60" t="s">
        <v>222</v>
      </c>
      <c r="B60" s="16">
        <v>0</v>
      </c>
      <c r="C60" s="16">
        <v>0</v>
      </c>
      <c r="D60" s="16">
        <v>0</v>
      </c>
    </row>
    <row r="61" spans="1:4" x14ac:dyDescent="0.3">
      <c r="A61" t="s">
        <v>223</v>
      </c>
      <c r="B61" s="16">
        <v>0</v>
      </c>
      <c r="C61" s="16">
        <v>0</v>
      </c>
      <c r="D61" s="16">
        <v>0</v>
      </c>
    </row>
    <row r="62" spans="1:4" x14ac:dyDescent="0.3">
      <c r="A62" t="s">
        <v>224</v>
      </c>
      <c r="B62" s="16">
        <v>0</v>
      </c>
      <c r="C62" s="16">
        <v>0</v>
      </c>
      <c r="D62" s="16">
        <v>0</v>
      </c>
    </row>
    <row r="63" spans="1:4" x14ac:dyDescent="0.3">
      <c r="A63" t="s">
        <v>225</v>
      </c>
      <c r="B63" s="16">
        <v>99824.48</v>
      </c>
      <c r="C63" s="16">
        <v>24019.05</v>
      </c>
      <c r="D63" s="16">
        <v>78191.78</v>
      </c>
    </row>
    <row r="64" spans="1:4" x14ac:dyDescent="0.3">
      <c r="A64" t="s">
        <v>226</v>
      </c>
      <c r="B64" s="16">
        <v>0</v>
      </c>
      <c r="C64" s="16">
        <v>0</v>
      </c>
      <c r="D64" s="16">
        <v>0</v>
      </c>
    </row>
    <row r="65" spans="1:4" s="1" customFormat="1" x14ac:dyDescent="0.3">
      <c r="A65" s="1" t="s">
        <v>227</v>
      </c>
      <c r="B65" s="15">
        <v>-159969.82999999999</v>
      </c>
      <c r="C65" s="15">
        <v>44232.2</v>
      </c>
      <c r="D65" s="15">
        <v>-428941.78</v>
      </c>
    </row>
    <row r="66" spans="1:4" x14ac:dyDescent="0.3">
      <c r="B66" s="16">
        <v>0</v>
      </c>
      <c r="C66" s="16">
        <v>0</v>
      </c>
      <c r="D66" s="16">
        <v>0</v>
      </c>
    </row>
    <row r="67" spans="1:4" s="1" customFormat="1" x14ac:dyDescent="0.3">
      <c r="A67" s="1" t="s">
        <v>228</v>
      </c>
      <c r="B67" s="15">
        <v>646274.93000000005</v>
      </c>
      <c r="C67" s="15">
        <v>-1880815.24</v>
      </c>
      <c r="D67" s="15">
        <v>1997630.49</v>
      </c>
    </row>
    <row r="68" spans="1:4" s="1" customFormat="1" x14ac:dyDescent="0.3">
      <c r="A68" s="1" t="s">
        <v>229</v>
      </c>
      <c r="B68" s="15">
        <v>646274.93000000005</v>
      </c>
      <c r="C68" s="15">
        <v>-1880815.24</v>
      </c>
      <c r="D68" s="15">
        <v>1997630.49</v>
      </c>
    </row>
    <row r="69" spans="1:4" x14ac:dyDescent="0.3">
      <c r="A69" t="s">
        <v>230</v>
      </c>
      <c r="B69" s="16">
        <v>0</v>
      </c>
      <c r="C69" s="16">
        <v>0</v>
      </c>
      <c r="D69" s="16">
        <v>0</v>
      </c>
    </row>
    <row r="70" spans="1:4" s="1" customFormat="1" x14ac:dyDescent="0.3">
      <c r="A70" s="1" t="s">
        <v>231</v>
      </c>
      <c r="B70" s="15">
        <v>1402530.89</v>
      </c>
      <c r="C70" s="15">
        <v>3283346.13</v>
      </c>
      <c r="D70" s="15">
        <v>1285715.6399999999</v>
      </c>
    </row>
    <row r="71" spans="1:4" s="1" customFormat="1" x14ac:dyDescent="0.3">
      <c r="A71" s="1" t="s">
        <v>232</v>
      </c>
      <c r="B71" s="15">
        <v>2048805.82</v>
      </c>
      <c r="C71" s="15">
        <v>1402530.89</v>
      </c>
      <c r="D71" s="15">
        <v>3283346.13</v>
      </c>
    </row>
    <row r="72" spans="1:4" x14ac:dyDescent="0.3">
      <c r="A72" t="s">
        <v>233</v>
      </c>
      <c r="B72" s="16">
        <v>13436.1</v>
      </c>
      <c r="C72" s="16">
        <v>12157.45</v>
      </c>
      <c r="D72" s="16">
        <v>3644.56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8"/>
  <sheetViews>
    <sheetView tabSelected="1" workbookViewId="0">
      <selection activeCell="L17" sqref="L17"/>
    </sheetView>
  </sheetViews>
  <sheetFormatPr defaultRowHeight="14.4" x14ac:dyDescent="0.3"/>
  <cols>
    <col min="2" max="2" width="41.77734375" customWidth="1"/>
    <col min="3" max="5" width="17.6640625" bestFit="1" customWidth="1"/>
    <col min="7" max="7" width="16.44140625" customWidth="1"/>
  </cols>
  <sheetData>
    <row r="2" spans="2:7" x14ac:dyDescent="0.3">
      <c r="C2" s="10">
        <v>2025</v>
      </c>
      <c r="D2" s="10">
        <v>2024</v>
      </c>
      <c r="E2" s="10">
        <v>2023</v>
      </c>
    </row>
    <row r="3" spans="2:7" x14ac:dyDescent="0.3">
      <c r="B3" s="17" t="s">
        <v>237</v>
      </c>
      <c r="C3" s="11"/>
      <c r="D3" s="11"/>
      <c r="E3" s="11"/>
    </row>
    <row r="4" spans="2:7" x14ac:dyDescent="0.3">
      <c r="B4" s="17" t="s">
        <v>234</v>
      </c>
      <c r="C4" s="13">
        <f>Aktywa!B48/Pasywa!B37</f>
        <v>5.007939128102044</v>
      </c>
      <c r="D4" s="13">
        <f>Aktywa!C48/Pasywa!C37</f>
        <v>3.6296011324345763</v>
      </c>
      <c r="E4" s="13">
        <f>Aktywa!D48/Pasywa!D37</f>
        <v>3.9918134563259842</v>
      </c>
    </row>
    <row r="5" spans="2:7" x14ac:dyDescent="0.3">
      <c r="B5" s="17" t="s">
        <v>235</v>
      </c>
      <c r="C5" s="13">
        <f>(Aktywa!B48-Aktywa!B49)/Pasywa!B37</f>
        <v>2.6793838210924843</v>
      </c>
      <c r="D5" s="13">
        <f>(Aktywa!C48-Aktywa!C49)/Pasywa!C37</f>
        <v>1.6719416913408978</v>
      </c>
      <c r="E5" s="13">
        <f>(Aktywa!D48-Aktywa!D49)/Pasywa!D37</f>
        <v>2.8123852610758315</v>
      </c>
    </row>
    <row r="6" spans="2:7" x14ac:dyDescent="0.3">
      <c r="B6" s="17" t="s">
        <v>236</v>
      </c>
      <c r="C6" s="13">
        <f>Aktywa!B87/Pasywa!B37</f>
        <v>1.0190654629220541</v>
      </c>
      <c r="D6" s="13">
        <f>Aktywa!C87/Pasywa!C37</f>
        <v>0.62253243564461347</v>
      </c>
      <c r="E6" s="13">
        <f>Aktywa!D87/Pasywa!D37</f>
        <v>1.7540672574292302</v>
      </c>
    </row>
    <row r="7" spans="2:7" x14ac:dyDescent="0.3">
      <c r="B7" s="17" t="s">
        <v>238</v>
      </c>
      <c r="C7" s="20">
        <f>Aktywa!B48-Pasywa!B37</f>
        <v>8057862.1400000006</v>
      </c>
      <c r="D7" s="20">
        <f>Aktywa!C48-Pasywa!C37</f>
        <v>5924344.8300000001</v>
      </c>
      <c r="E7" s="20">
        <f>Aktywa!D48-Pasywa!D37</f>
        <v>5600218.0600000005</v>
      </c>
    </row>
    <row r="8" spans="2:7" x14ac:dyDescent="0.3">
      <c r="B8" s="21"/>
      <c r="C8" s="21"/>
      <c r="D8" s="21"/>
      <c r="E8" s="21"/>
    </row>
    <row r="9" spans="2:7" x14ac:dyDescent="0.3">
      <c r="B9" s="17" t="s">
        <v>239</v>
      </c>
      <c r="C9" s="11"/>
      <c r="D9" s="11"/>
      <c r="E9" s="11"/>
    </row>
    <row r="10" spans="2:7" x14ac:dyDescent="0.3">
      <c r="B10" s="17" t="s">
        <v>240</v>
      </c>
      <c r="C10" s="19">
        <f>('RZiS'!B10-'RZiS'!B21)/'RZiS'!B10</f>
        <v>0.52114828976343053</v>
      </c>
      <c r="D10" s="19">
        <f>('RZiS'!C10-'RZiS'!C21)/'RZiS'!C10</f>
        <v>0.5196302001155404</v>
      </c>
      <c r="E10" s="19">
        <f>('RZiS'!D10-'RZiS'!D21)/'RZiS'!D10</f>
        <v>0.54769256976562208</v>
      </c>
      <c r="G10" s="8" t="s">
        <v>268</v>
      </c>
    </row>
    <row r="11" spans="2:7" x14ac:dyDescent="0.3">
      <c r="B11" s="17" t="s">
        <v>241</v>
      </c>
      <c r="C11" s="19">
        <f>'RZiS'!B32/'RZiS'!B5</f>
        <v>0.1012574575381756</v>
      </c>
      <c r="D11" s="19">
        <f>'RZiS'!C32/'RZiS'!C5</f>
        <v>4.4418975713661157E-2</v>
      </c>
      <c r="E11" s="19">
        <f>'RZiS'!D32/'RZiS'!D5</f>
        <v>0.11141174500422273</v>
      </c>
    </row>
    <row r="12" spans="2:7" x14ac:dyDescent="0.3">
      <c r="B12" s="17" t="s">
        <v>245</v>
      </c>
      <c r="C12" s="19">
        <f>'RZiS'!B55/'RZiS'!B5</f>
        <v>7.169706807029852E-2</v>
      </c>
      <c r="D12" s="19">
        <f>'RZiS'!C55/'RZiS'!C5</f>
        <v>2.5128709408048615E-2</v>
      </c>
      <c r="E12" s="19">
        <f>'RZiS'!D55/'RZiS'!D5</f>
        <v>9.2675454967036691E-2</v>
      </c>
    </row>
    <row r="13" spans="2:7" x14ac:dyDescent="0.3">
      <c r="B13" s="17" t="s">
        <v>242</v>
      </c>
      <c r="C13" s="19">
        <f>'RZiS'!B55/((Aktywa!B95+Aktywa!C95)/2)</f>
        <v>0.23825160961935449</v>
      </c>
      <c r="D13" s="19">
        <f>'RZiS'!C55/((Aktywa!C95+Aktywa!D95)/2)</f>
        <v>6.8057496365169445E-2</v>
      </c>
      <c r="E13" s="19">
        <f>'RZiS'!D55/((Aktywa!D95+Aktywa!E95)/2)</f>
        <v>0.31845586807844373</v>
      </c>
    </row>
    <row r="14" spans="2:7" x14ac:dyDescent="0.3">
      <c r="B14" s="17" t="s">
        <v>243</v>
      </c>
      <c r="C14" s="19">
        <f>'RZiS'!B55/((Pasywa!B6+Pasywa!C6)/2)</f>
        <v>0.30693160763452498</v>
      </c>
      <c r="D14" s="19">
        <f>'RZiS'!C55/((Pasywa!C6+Pasywa!D6)/2)</f>
        <v>9.15982850034745E-2</v>
      </c>
      <c r="E14" s="19">
        <f>'RZiS'!D55/((Pasywa!D6+Pasywa!E6)/2)</f>
        <v>0.42278547313521836</v>
      </c>
    </row>
    <row r="15" spans="2:7" x14ac:dyDescent="0.3">
      <c r="B15" s="17" t="s">
        <v>244</v>
      </c>
      <c r="C15" s="19">
        <f>('RZiS'!B32*(1-'RZiS'!B53/'RZiS'!B52))/(((Pasywa!B6+Pasywa!B32+Pasywa!B50)+(Pasywa!C6+Pasywa!C32+Pasywa!C50))/2)</f>
        <v>0.3497442866135656</v>
      </c>
      <c r="D15" s="19">
        <f>('RZiS'!C32*(1-'RZiS'!C53/'RZiS'!C52))/(((Pasywa!C6+Pasywa!C32+Pasywa!C50)+(Pasywa!D6+Pasywa!D32+Pasywa!D50))/2)</f>
        <v>0.13141502655895707</v>
      </c>
      <c r="E15" s="19">
        <f>('RZiS'!D32*(1-'RZiS'!D53/'RZiS'!D52))/(((Pasywa!D6+Pasywa!D32+Pasywa!D50)+(Pasywa!E6+Pasywa!E32+Pasywa!E50))/2)</f>
        <v>0.39035566357748031</v>
      </c>
    </row>
    <row r="16" spans="2:7" x14ac:dyDescent="0.3">
      <c r="B16" s="21"/>
      <c r="C16" s="21"/>
      <c r="D16" s="21"/>
      <c r="E16" s="21"/>
    </row>
    <row r="17" spans="2:5" x14ac:dyDescent="0.3">
      <c r="B17" s="17" t="s">
        <v>246</v>
      </c>
      <c r="C17" s="11"/>
      <c r="D17" s="11"/>
      <c r="E17" s="11"/>
    </row>
    <row r="18" spans="2:5" x14ac:dyDescent="0.3">
      <c r="B18" s="17" t="s">
        <v>247</v>
      </c>
      <c r="C18" s="13">
        <f>Pasywa!B19/Pasywa!B6</f>
        <v>0.23297345193271227</v>
      </c>
      <c r="D18" s="13">
        <f>Pasywa!C19/Pasywa!C6</f>
        <v>0.36360779097483836</v>
      </c>
      <c r="E18" s="13">
        <f>Pasywa!D19/Pasywa!D6</f>
        <v>0.32645706240719941</v>
      </c>
    </row>
    <row r="19" spans="2:5" x14ac:dyDescent="0.3">
      <c r="B19" s="17" t="s">
        <v>248</v>
      </c>
      <c r="C19" s="13">
        <f>(Pasywa!B50+Pasywa!B32-Aktywa!B87)/('RZiS'!B32+'RZiS'!B12)</f>
        <v>-0.60119031412031332</v>
      </c>
      <c r="D19" s="13">
        <f>(Pasywa!C50+Pasywa!C32-Aktywa!C87)/('RZiS'!C32+'RZiS'!C12)</f>
        <v>-1.2868379447504208</v>
      </c>
      <c r="E19" s="13">
        <f>(Pasywa!D50+Pasywa!D32-Aktywa!D87)/('RZiS'!D32+'RZiS'!D12)</f>
        <v>-1.2624237022604707</v>
      </c>
    </row>
    <row r="20" spans="2:5" x14ac:dyDescent="0.3">
      <c r="B20" s="17" t="s">
        <v>249</v>
      </c>
      <c r="C20" s="13">
        <f>'RZiS'!B32/'RZiS'!B46</f>
        <v>32.488900818717013</v>
      </c>
      <c r="D20" s="13">
        <f>'RZiS'!C32/'RZiS'!C46</f>
        <v>40.799320955658118</v>
      </c>
      <c r="E20" s="13">
        <f>'RZiS'!D32/'RZiS'!D46</f>
        <v>30.966934503857054</v>
      </c>
    </row>
    <row r="21" spans="2:5" x14ac:dyDescent="0.3">
      <c r="B21" s="17" t="s">
        <v>250</v>
      </c>
      <c r="C21" s="19">
        <f>Pasywa!B19/Aktywa!B95</f>
        <v>0.1889525290001349</v>
      </c>
      <c r="D21" s="19">
        <f>Pasywa!C19/Aktywa!C95</f>
        <v>0.26665130060227688</v>
      </c>
      <c r="E21" s="19">
        <f>Pasywa!D19/Aktywa!D95</f>
        <v>0.24611204663855354</v>
      </c>
    </row>
    <row r="22" spans="2:5" x14ac:dyDescent="0.3">
      <c r="B22" s="21"/>
      <c r="C22" s="21"/>
      <c r="D22" s="21"/>
      <c r="E22" s="21"/>
    </row>
    <row r="23" spans="2:5" x14ac:dyDescent="0.3">
      <c r="B23" s="17" t="s">
        <v>251</v>
      </c>
      <c r="C23" s="11"/>
      <c r="D23" s="11"/>
      <c r="E23" s="11"/>
    </row>
    <row r="24" spans="2:5" x14ac:dyDescent="0.3">
      <c r="B24" s="17" t="s">
        <v>252</v>
      </c>
      <c r="C24" s="18">
        <f>((Aktywa!B67+Aktywa!C67)/2)/'RZiS'!B5*1.23*365</f>
        <v>36.173728899956195</v>
      </c>
      <c r="D24" s="18">
        <f>((Aktywa!C67+Aktywa!D67)/2)/'RZiS'!C5*1.23*365</f>
        <v>39.676317046457356</v>
      </c>
      <c r="E24" s="18">
        <f>((Aktywa!D67+Aktywa!E67)/2)/'RZiS'!D5*1.23*365</f>
        <v>21.2353967531396</v>
      </c>
    </row>
    <row r="25" spans="2:5" x14ac:dyDescent="0.3">
      <c r="B25" s="17" t="s">
        <v>253</v>
      </c>
      <c r="C25" s="18">
        <f>(Aktywa!B49+Aktywa!C49)/2/'RZiS'!B21*365</f>
        <v>108.82046072058901</v>
      </c>
      <c r="D25" s="18">
        <f>(Aktywa!C49+Aktywa!D49)/2/'RZiS'!C21*365</f>
        <v>114.58550107921413</v>
      </c>
      <c r="E25" s="18">
        <f>(Aktywa!D49+Aktywa!E49)/2/'RZiS'!D21*365</f>
        <v>94.074166271029483</v>
      </c>
    </row>
    <row r="26" spans="2:5" x14ac:dyDescent="0.3">
      <c r="B26" s="17" t="s">
        <v>254</v>
      </c>
      <c r="C26" s="18">
        <f>((Pasywa!B53+Pasywa!C53)/2)/'RZiS'!B21*365</f>
        <v>45.256148350424048</v>
      </c>
      <c r="D26" s="18">
        <f>((Pasywa!C53+Pasywa!D53)/2)/'RZiS'!C21*365</f>
        <v>56.024025327171479</v>
      </c>
      <c r="E26" s="18">
        <f>((Pasywa!D53+Pasywa!E53)/2)/'RZiS'!D21*365</f>
        <v>33.119711232545697</v>
      </c>
    </row>
    <row r="27" spans="2:5" x14ac:dyDescent="0.3">
      <c r="B27" s="17" t="s">
        <v>255</v>
      </c>
      <c r="C27" s="18">
        <f>C24+C25-C26</f>
        <v>99.738041270121158</v>
      </c>
      <c r="D27" s="18">
        <f>D24+D25-D26</f>
        <v>98.23779279850001</v>
      </c>
      <c r="E27" s="18">
        <f>E24+E25-E26</f>
        <v>82.189851791623383</v>
      </c>
    </row>
    <row r="28" spans="2:5" x14ac:dyDescent="0.3">
      <c r="B28" s="17" t="s">
        <v>256</v>
      </c>
      <c r="C28" s="13">
        <f>'RZiS'!B5/((Aktywa!B95+Aktywa!C95)/2)</f>
        <v>3.3230314158139675</v>
      </c>
      <c r="D28" s="13">
        <f>'RZiS'!C5/((Aktywa!C95+Aktywa!D95)/2)</f>
        <v>2.7083562175847731</v>
      </c>
      <c r="E28" s="13">
        <f>'RZiS'!D5/((Aktywa!D95+Aktywa!E95)/2)</f>
        <v>3.4362482298221662</v>
      </c>
    </row>
  </sheetData>
  <mergeCells count="3">
    <mergeCell ref="B8:E8"/>
    <mergeCell ref="B16:E16"/>
    <mergeCell ref="B22:E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A777-7DED-439F-AE6A-4AEB1E372DB8}">
  <dimension ref="B3:I8"/>
  <sheetViews>
    <sheetView workbookViewId="0">
      <selection activeCell="I39" sqref="I39"/>
    </sheetView>
  </sheetViews>
  <sheetFormatPr defaultRowHeight="14.4" x14ac:dyDescent="0.3"/>
  <cols>
    <col min="2" max="2" width="19.21875" customWidth="1"/>
    <col min="3" max="3" width="15" bestFit="1" customWidth="1"/>
    <col min="4" max="4" width="11.21875" bestFit="1" customWidth="1"/>
    <col min="5" max="5" width="15.5546875" bestFit="1" customWidth="1"/>
    <col min="6" max="6" width="14.88671875" bestFit="1" customWidth="1"/>
    <col min="7" max="7" width="19.6640625" bestFit="1" customWidth="1"/>
    <col min="8" max="8" width="14.44140625" bestFit="1" customWidth="1"/>
    <col min="9" max="9" width="17.21875" bestFit="1" customWidth="1"/>
  </cols>
  <sheetData>
    <row r="3" spans="2:9" x14ac:dyDescent="0.3">
      <c r="B3" s="14" t="s">
        <v>262</v>
      </c>
    </row>
    <row r="5" spans="2:9" x14ac:dyDescent="0.3">
      <c r="B5" s="9" t="s">
        <v>263</v>
      </c>
      <c r="C5" s="10" t="s">
        <v>264</v>
      </c>
      <c r="D5" s="10" t="s">
        <v>265</v>
      </c>
      <c r="E5" s="10" t="s">
        <v>234</v>
      </c>
      <c r="F5" s="10" t="s">
        <v>235</v>
      </c>
      <c r="G5" s="10" t="s">
        <v>236</v>
      </c>
      <c r="H5" s="10" t="s">
        <v>266</v>
      </c>
      <c r="I5" s="10" t="s">
        <v>267</v>
      </c>
    </row>
    <row r="6" spans="2:9" x14ac:dyDescent="0.3">
      <c r="B6" s="11">
        <v>2023</v>
      </c>
      <c r="C6" s="12">
        <f>'RZiS'!D5</f>
        <v>21733433.309999999</v>
      </c>
      <c r="D6" s="19">
        <f>Wskaźniki!E12</f>
        <v>9.2675454967036691E-2</v>
      </c>
      <c r="E6" s="13">
        <f>Wskaźniki!E4</f>
        <v>3.9918134563259842</v>
      </c>
      <c r="F6" s="13">
        <f>Wskaźniki!E5</f>
        <v>2.8123852610758315</v>
      </c>
      <c r="G6" s="13">
        <f>Wskaźniki!E6</f>
        <v>1.7540672574292302</v>
      </c>
      <c r="H6" s="13">
        <v>1</v>
      </c>
      <c r="I6" s="13">
        <f>Wskaźniki!E19</f>
        <v>-1.2624237022604707</v>
      </c>
    </row>
    <row r="7" spans="2:9" x14ac:dyDescent="0.3">
      <c r="B7" s="11">
        <v>2024</v>
      </c>
      <c r="C7" s="12">
        <f>'RZiS'!C5</f>
        <v>22061763.34</v>
      </c>
      <c r="D7" s="19">
        <f>Wskaźniki!D12</f>
        <v>2.5128709408048615E-2</v>
      </c>
      <c r="E7" s="13">
        <f>Wskaźniki!D4</f>
        <v>3.6296011324345763</v>
      </c>
      <c r="F7" s="13">
        <f>Wskaźniki!D5</f>
        <v>1.6719416913408978</v>
      </c>
      <c r="G7" s="13">
        <f>Wskaźniki!D6</f>
        <v>0.62253243564461347</v>
      </c>
      <c r="H7" s="13">
        <v>1</v>
      </c>
      <c r="I7" s="13">
        <f>Wskaźniki!D19</f>
        <v>-1.2868379447504208</v>
      </c>
    </row>
    <row r="8" spans="2:9" x14ac:dyDescent="0.3">
      <c r="B8" s="11">
        <v>2025</v>
      </c>
      <c r="C8" s="12">
        <f>'RZiS'!B5</f>
        <v>32029123.670000002</v>
      </c>
      <c r="D8" s="19">
        <f>Wskaźniki!C12</f>
        <v>7.169706807029852E-2</v>
      </c>
      <c r="E8" s="13">
        <f>Wskaźniki!C4</f>
        <v>5.007939128102044</v>
      </c>
      <c r="F8" s="13">
        <f>Wskaźniki!C5</f>
        <v>2.6793838210924843</v>
      </c>
      <c r="G8" s="13">
        <f>Wskaźniki!C6</f>
        <v>1.0190654629220541</v>
      </c>
      <c r="H8" s="13">
        <v>1</v>
      </c>
      <c r="I8" s="13">
        <f>Wskaźniki!C19</f>
        <v>-0.60119031412031332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35A417-7606-4026-8E49-6AF5AD417C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Aktywa</vt:lpstr>
      <vt:lpstr>Pasywa</vt:lpstr>
      <vt:lpstr>RZiS</vt:lpstr>
      <vt:lpstr>RPP</vt:lpstr>
      <vt:lpstr>Wskaźniki</vt:lpstr>
      <vt:lpstr>Wykresy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Oliwia Szczurkowska</dc:creator>
  <cp:lastModifiedBy>2018-b</cp:lastModifiedBy>
  <dcterms:created xsi:type="dcterms:W3CDTF">2015-06-05T18:17:20Z</dcterms:created>
  <dcterms:modified xsi:type="dcterms:W3CDTF">2026-08-24T19:47:39Z</dcterms:modified>
</cp:coreProperties>
</file>